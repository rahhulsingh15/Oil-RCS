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oilindia-my.sharepoint.com/personal/subhayan_dasgupta_oilindia_in/Documents/MoPNG_docs_2_systems/Macbook/Documents/MBP_office_repository/Aarohan_2/100_day_challenge/RSCs/Database_for_portal/"/>
    </mc:Choice>
  </mc:AlternateContent>
  <xr:revisionPtr revIDLastSave="566" documentId="13_ncr:1_{DFF73D5B-2ACC-4C4E-A068-D751C7041743}" xr6:coauthVersionLast="47" xr6:coauthVersionMax="47" xr10:uidLastSave="{1EF8003F-B327-467D-B178-86814B767154}"/>
  <bookViews>
    <workbookView xWindow="0" yWindow="600" windowWidth="19680" windowHeight="19120" firstSheet="7" activeTab="9" xr2:uid="{9A38733B-42A2-5B41-B9EF-1921F16E21DF}"/>
  </bookViews>
  <sheets>
    <sheet name="Block Details" sheetId="1" r:id="rId1"/>
    <sheet name="PEL _PML_PL validity" sheetId="2" r:id="rId2"/>
    <sheet name="CWP details" sheetId="4" r:id="rId3"/>
    <sheet name="Location inventory" sheetId="11" r:id="rId4"/>
    <sheet name="Timeline details" sheetId="5" r:id="rId5"/>
    <sheet name="BG details" sheetId="6" r:id="rId6"/>
    <sheet name="Investment details" sheetId="8" r:id="rId7"/>
    <sheet name="MC meeting details" sheetId="10" r:id="rId8"/>
    <sheet name="Backup Database" sheetId="3" r:id="rId9"/>
    <sheet name="Statutory clearances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8" l="1"/>
  <c r="J6" i="8"/>
  <c r="C28" i="4"/>
  <c r="J6" i="2"/>
  <c r="J5" i="2"/>
  <c r="J8" i="2"/>
  <c r="J9" i="2"/>
  <c r="J10" i="2"/>
  <c r="J11" i="2"/>
  <c r="J12" i="2"/>
  <c r="J4" i="2"/>
  <c r="P6" i="4" l="1"/>
</calcChain>
</file>

<file path=xl/sharedStrings.xml><?xml version="1.0" encoding="utf-8"?>
<sst xmlns="http://schemas.openxmlformats.org/spreadsheetml/2006/main" count="672" uniqueCount="288">
  <si>
    <t>S.N.</t>
  </si>
  <si>
    <t>Block</t>
  </si>
  <si>
    <t>Regime</t>
  </si>
  <si>
    <t>Round</t>
  </si>
  <si>
    <t>Category</t>
  </si>
  <si>
    <t>Basin</t>
  </si>
  <si>
    <t>Basin category</t>
  </si>
  <si>
    <t>State</t>
  </si>
  <si>
    <t>District(s)</t>
  </si>
  <si>
    <t>Block Area</t>
  </si>
  <si>
    <t>RSC signing date</t>
  </si>
  <si>
    <t>Current Status (Active/ Rel)</t>
  </si>
  <si>
    <t>Current Stage</t>
  </si>
  <si>
    <t>Relinquishment date</t>
  </si>
  <si>
    <t>Original</t>
  </si>
  <si>
    <t>Revised</t>
  </si>
  <si>
    <t>Date of Revision</t>
  </si>
  <si>
    <t>MN-ONHP-2018/1</t>
  </si>
  <si>
    <t>OALP</t>
  </si>
  <si>
    <t>II</t>
  </si>
  <si>
    <t>Combination (Onland + Offshore)</t>
  </si>
  <si>
    <t>Mahanadi</t>
  </si>
  <si>
    <t>Odisha</t>
  </si>
  <si>
    <t>Cuttak,
Khorda,
Jagatsinghpur, 
Puri,
Kendrapada</t>
  </si>
  <si>
    <t>NA</t>
  </si>
  <si>
    <t>16.07.2019</t>
  </si>
  <si>
    <t>Active</t>
  </si>
  <si>
    <t>Exploration</t>
  </si>
  <si>
    <t>MN-ONHP-2018/2</t>
  </si>
  <si>
    <t>Onland</t>
  </si>
  <si>
    <t>Khorda, Puri</t>
  </si>
  <si>
    <t>MN-ONHP-2018/3</t>
  </si>
  <si>
    <t>Kendrapada, Jajpur, Bhadrak, Balasore</t>
  </si>
  <si>
    <t>MN-ONHP-2018/4</t>
  </si>
  <si>
    <t>III</t>
  </si>
  <si>
    <t>Kendujhar, Balasore, Mayurbhanj, Bhadrak, Jajpur, Kendrapada</t>
  </si>
  <si>
    <t>Relinquished</t>
  </si>
  <si>
    <t>28.02.2025</t>
  </si>
  <si>
    <t>MN-ONHP-2018/5</t>
  </si>
  <si>
    <t>Cuttack, Jajpur, Jagatsinghpur, Kendrapada , Dhenkanal</t>
  </si>
  <si>
    <t>MN-UDWHP-2023/2</t>
  </si>
  <si>
    <t>IX</t>
  </si>
  <si>
    <t>Ultra Deep Water</t>
  </si>
  <si>
    <t>Offshore</t>
  </si>
  <si>
    <t>15.04.2025</t>
  </si>
  <si>
    <t>MN-UDWHP-2023/3</t>
  </si>
  <si>
    <t>KG-UDWHP-2023/1</t>
  </si>
  <si>
    <t>Krishna Godavari</t>
  </si>
  <si>
    <t>I</t>
  </si>
  <si>
    <t>KG-UDWHP-2023/2</t>
  </si>
  <si>
    <t>PEL/ PL granting authority</t>
  </si>
  <si>
    <t>Initial PEL/ PL grant date</t>
  </si>
  <si>
    <t>Effective/ Commencement Date</t>
  </si>
  <si>
    <t>PEL to PL converted</t>
  </si>
  <si>
    <t>Current PEL/ PL validity</t>
  </si>
  <si>
    <t>Current year of PEL/ PL</t>
  </si>
  <si>
    <t>Last year rate of PEL fees/ Lease Rent</t>
  </si>
  <si>
    <t>Last year amount of PEL fees/ Lease Rent</t>
  </si>
  <si>
    <t>State/ Central</t>
  </si>
  <si>
    <t>27.07.2020/ 30.08.2019</t>
  </si>
  <si>
    <t>27.07.2020</t>
  </si>
  <si>
    <t>Yes</t>
  </si>
  <si>
    <t>26.07.2027</t>
  </si>
  <si>
    <t>1st</t>
  </si>
  <si>
    <t>State Govt.</t>
  </si>
  <si>
    <t>09.03.2021</t>
  </si>
  <si>
    <t>08.03.2027</t>
  </si>
  <si>
    <t>No</t>
  </si>
  <si>
    <t>08.03.2025</t>
  </si>
  <si>
    <t>22.07.2020</t>
  </si>
  <si>
    <t>21.07.2027</t>
  </si>
  <si>
    <t>Central Govt.</t>
  </si>
  <si>
    <t>23.12.2025</t>
  </si>
  <si>
    <t>20.01.2026</t>
  </si>
  <si>
    <t>22.12.2055</t>
  </si>
  <si>
    <t>Committed Work Program (CWP)</t>
  </si>
  <si>
    <t>Achievement</t>
  </si>
  <si>
    <t>Additional Work</t>
  </si>
  <si>
    <t>Under drilling (nos.)</t>
  </si>
  <si>
    <t>Location under drilling</t>
  </si>
  <si>
    <t>Current drilled Depth (m)</t>
  </si>
  <si>
    <t>TD (m)</t>
  </si>
  <si>
    <t>Percentage completion</t>
  </si>
  <si>
    <t>2D (LKM)</t>
  </si>
  <si>
    <t>3D (Sq. Km.)</t>
  </si>
  <si>
    <t>Wells</t>
  </si>
  <si>
    <t>OBKB-R</t>
  </si>
  <si>
    <t>Number of Locations released till date</t>
  </si>
  <si>
    <t>Details (Name and TD)</t>
  </si>
  <si>
    <t>Primary/ Secondary targets</t>
  </si>
  <si>
    <t>EDPMB No.</t>
  </si>
  <si>
    <t>EDPMB Date</t>
  </si>
  <si>
    <t>Whether already drilled</t>
  </si>
  <si>
    <t>Drilled wells</t>
  </si>
  <si>
    <t>To be drilled</t>
  </si>
  <si>
    <t>Actual drilled depth</t>
  </si>
  <si>
    <t>Key findings</t>
  </si>
  <si>
    <t>Studies carried out</t>
  </si>
  <si>
    <t>EDS</t>
  </si>
  <si>
    <t>Planned completion date</t>
  </si>
  <si>
    <t>Current status</t>
  </si>
  <si>
    <t>OBRA : 1460 m, OBRD: 1500 m</t>
  </si>
  <si>
    <r>
      <rPr>
        <b/>
        <sz val="12"/>
        <color theme="1"/>
        <rFont val="Aptos Narrow"/>
        <family val="2"/>
        <scheme val="minor"/>
      </rPr>
      <t>OBRA</t>
    </r>
    <r>
      <rPr>
        <sz val="12"/>
        <color theme="1"/>
        <rFont val="Aptos Narrow"/>
        <family val="2"/>
        <scheme val="minor"/>
      </rPr>
      <t xml:space="preserve">: Clastics/carbonates within paleocene                 </t>
    </r>
    <r>
      <rPr>
        <b/>
        <sz val="12"/>
        <color theme="1"/>
        <rFont val="Aptos Narrow"/>
        <family val="2"/>
        <scheme val="minor"/>
      </rPr>
      <t>OBRD</t>
    </r>
    <r>
      <rPr>
        <sz val="12"/>
        <color theme="1"/>
        <rFont val="Aptos Narrow"/>
        <family val="2"/>
        <scheme val="minor"/>
      </rPr>
      <t>: Mesozoic castics &amp; Early Cretaceous</t>
    </r>
  </si>
  <si>
    <r>
      <rPr>
        <b/>
        <sz val="12"/>
        <color theme="1"/>
        <rFont val="Aptos Narrow"/>
        <family val="2"/>
        <scheme val="minor"/>
      </rPr>
      <t>OBRA</t>
    </r>
    <r>
      <rPr>
        <sz val="12"/>
        <color theme="1"/>
        <rFont val="Aptos Narrow"/>
        <family val="2"/>
        <scheme val="minor"/>
      </rPr>
      <t xml:space="preserve">:   34                      </t>
    </r>
    <r>
      <rPr>
        <b/>
        <sz val="12"/>
        <color theme="1"/>
        <rFont val="Aptos Narrow"/>
        <family val="2"/>
        <scheme val="minor"/>
      </rPr>
      <t>OBRD</t>
    </r>
    <r>
      <rPr>
        <sz val="12"/>
        <color theme="1"/>
        <rFont val="Aptos Narrow"/>
        <family val="2"/>
        <scheme val="minor"/>
      </rPr>
      <t>: 49</t>
    </r>
  </si>
  <si>
    <r>
      <rPr>
        <b/>
        <sz val="12"/>
        <color theme="1"/>
        <rFont val="Aptos Narrow"/>
        <family val="2"/>
        <scheme val="minor"/>
      </rPr>
      <t>OBRA</t>
    </r>
    <r>
      <rPr>
        <sz val="12"/>
        <color theme="1"/>
        <rFont val="Aptos Narrow"/>
        <family val="2"/>
        <scheme val="minor"/>
      </rPr>
      <t xml:space="preserve">:   31.0.2023             </t>
    </r>
    <r>
      <rPr>
        <b/>
        <sz val="12"/>
        <color theme="1"/>
        <rFont val="Aptos Narrow"/>
        <family val="2"/>
        <scheme val="minor"/>
      </rPr>
      <t>OBRD</t>
    </r>
    <r>
      <rPr>
        <sz val="12"/>
        <color theme="1"/>
        <rFont val="Aptos Narrow"/>
        <family val="2"/>
        <scheme val="minor"/>
      </rPr>
      <t>: 08.05.2026</t>
    </r>
  </si>
  <si>
    <r>
      <rPr>
        <b/>
        <sz val="12"/>
        <color theme="1"/>
        <rFont val="Aptos Narrow"/>
        <family val="2"/>
        <scheme val="minor"/>
      </rPr>
      <t>OBRA</t>
    </r>
    <r>
      <rPr>
        <sz val="12"/>
        <color theme="1"/>
        <rFont val="Aptos Narrow"/>
        <family val="2"/>
        <scheme val="minor"/>
      </rPr>
      <t xml:space="preserve">:   Drilled             </t>
    </r>
    <r>
      <rPr>
        <b/>
        <sz val="12"/>
        <color theme="1"/>
        <rFont val="Aptos Narrow"/>
        <family val="2"/>
        <scheme val="minor"/>
      </rPr>
      <t>OBRD</t>
    </r>
    <r>
      <rPr>
        <sz val="12"/>
        <color theme="1"/>
        <rFont val="Aptos Narrow"/>
        <family val="2"/>
        <scheme val="minor"/>
      </rPr>
      <t>: Not drilled</t>
    </r>
  </si>
  <si>
    <r>
      <rPr>
        <b/>
        <sz val="12"/>
        <color theme="1"/>
        <rFont val="Aptos Narrow"/>
        <family val="2"/>
        <scheme val="minor"/>
      </rPr>
      <t>OBRA</t>
    </r>
    <r>
      <rPr>
        <sz val="12"/>
        <color theme="1"/>
        <rFont val="Aptos Narrow"/>
        <family val="2"/>
        <scheme val="minor"/>
      </rPr>
      <t xml:space="preserve">:  1460 m             </t>
    </r>
  </si>
  <si>
    <r>
      <rPr>
        <b/>
        <sz val="12"/>
        <color theme="1"/>
        <rFont val="Aptos Narrow"/>
        <family val="2"/>
        <scheme val="minor"/>
      </rPr>
      <t>OBRA</t>
    </r>
    <r>
      <rPr>
        <sz val="12"/>
        <color theme="1"/>
        <rFont val="Aptos Narrow"/>
        <family val="2"/>
        <scheme val="minor"/>
      </rPr>
      <t xml:space="preserve">:  Dry              </t>
    </r>
  </si>
  <si>
    <t>Biostratigraphic Study</t>
  </si>
  <si>
    <r>
      <rPr>
        <b/>
        <sz val="12"/>
        <color theme="1"/>
        <rFont val="Aptos Narrow"/>
        <family val="2"/>
        <scheme val="minor"/>
      </rPr>
      <t>OBRD</t>
    </r>
    <r>
      <rPr>
        <sz val="12"/>
        <color theme="1"/>
        <rFont val="Aptos Narrow"/>
        <family val="2"/>
        <scheme val="minor"/>
      </rPr>
      <t>: June 2027</t>
    </r>
  </si>
  <si>
    <r>
      <rPr>
        <b/>
        <sz val="12"/>
        <color theme="1"/>
        <rFont val="Aptos Narrow"/>
        <family val="2"/>
        <scheme val="minor"/>
      </rPr>
      <t>OBRD</t>
    </r>
    <r>
      <rPr>
        <sz val="12"/>
        <color theme="1"/>
        <rFont val="Aptos Narrow"/>
        <family val="2"/>
        <scheme val="minor"/>
      </rPr>
      <t>: July 2027</t>
    </r>
  </si>
  <si>
    <r>
      <rPr>
        <b/>
        <sz val="12"/>
        <color theme="1"/>
        <rFont val="Aptos Narrow"/>
        <family val="2"/>
        <scheme val="minor"/>
      </rPr>
      <t>OBRD</t>
    </r>
    <r>
      <rPr>
        <sz val="12"/>
        <color theme="1"/>
        <rFont val="Aptos Narrow"/>
        <family val="2"/>
        <scheme val="minor"/>
      </rPr>
      <t>: Estimates under preparation</t>
    </r>
  </si>
  <si>
    <t>OPUE: 1080 m, OPUB: 2004 m, OPUH: 1500 m, OPUF: 1600 m. OPUC: 3130 m</t>
  </si>
  <si>
    <r>
      <rPr>
        <b/>
        <sz val="12"/>
        <color theme="1"/>
        <rFont val="Aptos Narrow"/>
        <family val="2"/>
        <scheme val="minor"/>
      </rPr>
      <t>OPUE</t>
    </r>
    <r>
      <rPr>
        <sz val="12"/>
        <color theme="1"/>
        <rFont val="Aptos Narrow"/>
        <family val="2"/>
        <scheme val="minor"/>
      </rPr>
      <t xml:space="preserve">: Mesozoic clastic within early creataceous                </t>
    </r>
    <r>
      <rPr>
        <b/>
        <sz val="12"/>
        <color theme="1"/>
        <rFont val="Aptos Narrow"/>
        <family val="2"/>
        <scheme val="minor"/>
      </rPr>
      <t>OPUB</t>
    </r>
    <r>
      <rPr>
        <sz val="12"/>
        <color theme="1"/>
        <rFont val="Aptos Narrow"/>
        <family val="2"/>
        <scheme val="minor"/>
      </rPr>
      <t xml:space="preserve">: Mesozoic Clastics within Early Cretaceous                        </t>
    </r>
    <r>
      <rPr>
        <b/>
        <sz val="12"/>
        <color theme="1"/>
        <rFont val="Aptos Narrow"/>
        <family val="2"/>
        <scheme val="minor"/>
      </rPr>
      <t>OPUH</t>
    </r>
    <r>
      <rPr>
        <sz val="12"/>
        <color theme="1"/>
        <rFont val="Aptos Narrow"/>
        <family val="2"/>
        <scheme val="minor"/>
      </rPr>
      <t xml:space="preserve">: Paleocene Sand  </t>
    </r>
    <r>
      <rPr>
        <b/>
        <sz val="12"/>
        <color theme="1"/>
        <rFont val="Aptos Narrow"/>
        <family val="2"/>
        <scheme val="minor"/>
      </rPr>
      <t>OPUF</t>
    </r>
    <r>
      <rPr>
        <sz val="12"/>
        <color theme="1"/>
        <rFont val="Aptos Narrow"/>
        <family val="2"/>
        <scheme val="minor"/>
      </rPr>
      <t xml:space="preserve">: Mesozoic clastic within early creataceous            </t>
    </r>
    <r>
      <rPr>
        <b/>
        <sz val="12"/>
        <color theme="1"/>
        <rFont val="Aptos Narrow"/>
        <family val="2"/>
        <scheme val="minor"/>
      </rPr>
      <t>OPUC</t>
    </r>
    <r>
      <rPr>
        <sz val="12"/>
        <color theme="1"/>
        <rFont val="Aptos Narrow"/>
        <family val="2"/>
        <scheme val="minor"/>
      </rPr>
      <t>: Mesozoic clastic within early creataceous</t>
    </r>
  </si>
  <si>
    <r>
      <rPr>
        <b/>
        <sz val="12"/>
        <color theme="1"/>
        <rFont val="Aptos Narrow"/>
        <family val="2"/>
        <scheme val="minor"/>
      </rPr>
      <t>OPUE</t>
    </r>
    <r>
      <rPr>
        <sz val="12"/>
        <color theme="1"/>
        <rFont val="Aptos Narrow"/>
        <family val="2"/>
        <scheme val="minor"/>
      </rPr>
      <t xml:space="preserve">: 21                       </t>
    </r>
    <r>
      <rPr>
        <b/>
        <sz val="12"/>
        <color theme="1"/>
        <rFont val="Aptos Narrow"/>
        <family val="2"/>
        <scheme val="minor"/>
      </rPr>
      <t>OPUB</t>
    </r>
    <r>
      <rPr>
        <sz val="12"/>
        <color theme="1"/>
        <rFont val="Aptos Narrow"/>
        <family val="2"/>
        <scheme val="minor"/>
      </rPr>
      <t xml:space="preserve">: 21                        </t>
    </r>
    <r>
      <rPr>
        <b/>
        <sz val="12"/>
        <color theme="1"/>
        <rFont val="Aptos Narrow"/>
        <family val="2"/>
        <scheme val="minor"/>
      </rPr>
      <t>OPUH</t>
    </r>
    <r>
      <rPr>
        <sz val="12"/>
        <color theme="1"/>
        <rFont val="Aptos Narrow"/>
        <family val="2"/>
        <scheme val="minor"/>
      </rPr>
      <t xml:space="preserve">: 38                       </t>
    </r>
    <r>
      <rPr>
        <b/>
        <sz val="12"/>
        <color theme="1"/>
        <rFont val="Aptos Narrow"/>
        <family val="2"/>
        <scheme val="minor"/>
      </rPr>
      <t xml:space="preserve">OPUF </t>
    </r>
    <r>
      <rPr>
        <sz val="12"/>
        <color theme="1"/>
        <rFont val="Aptos Narrow"/>
        <family val="2"/>
        <scheme val="minor"/>
      </rPr>
      <t xml:space="preserve">: 36                      </t>
    </r>
    <r>
      <rPr>
        <b/>
        <sz val="12"/>
        <color theme="1"/>
        <rFont val="Aptos Narrow"/>
        <family val="2"/>
        <scheme val="minor"/>
      </rPr>
      <t>OPUC</t>
    </r>
    <r>
      <rPr>
        <sz val="12"/>
        <color theme="1"/>
        <rFont val="Aptos Narrow"/>
        <family val="2"/>
        <scheme val="minor"/>
      </rPr>
      <t>: 20</t>
    </r>
  </si>
  <si>
    <r>
      <rPr>
        <b/>
        <sz val="12"/>
        <color theme="1"/>
        <rFont val="Aptos Narrow"/>
        <family val="2"/>
        <scheme val="minor"/>
      </rPr>
      <t>OPUE</t>
    </r>
    <r>
      <rPr>
        <sz val="12"/>
        <color theme="1"/>
        <rFont val="Aptos Narrow"/>
        <family val="2"/>
        <scheme val="minor"/>
      </rPr>
      <t xml:space="preserve">: 25.01.2022                </t>
    </r>
    <r>
      <rPr>
        <b/>
        <sz val="12"/>
        <color theme="1"/>
        <rFont val="Aptos Narrow"/>
        <family val="2"/>
        <scheme val="minor"/>
      </rPr>
      <t>OPUB</t>
    </r>
    <r>
      <rPr>
        <sz val="12"/>
        <color theme="1"/>
        <rFont val="Aptos Narrow"/>
        <family val="2"/>
        <scheme val="minor"/>
      </rPr>
      <t xml:space="preserve">: 25.01.2022                        </t>
    </r>
    <r>
      <rPr>
        <b/>
        <sz val="12"/>
        <color theme="1"/>
        <rFont val="Aptos Narrow"/>
        <family val="2"/>
        <scheme val="minor"/>
      </rPr>
      <t>OPUH</t>
    </r>
    <r>
      <rPr>
        <sz val="12"/>
        <color theme="1"/>
        <rFont val="Aptos Narrow"/>
        <family val="2"/>
        <scheme val="minor"/>
      </rPr>
      <t xml:space="preserve">: 20.08.2024      </t>
    </r>
    <r>
      <rPr>
        <b/>
        <sz val="12"/>
        <color theme="1"/>
        <rFont val="Aptos Narrow"/>
        <family val="2"/>
        <scheme val="minor"/>
      </rPr>
      <t>OPUF</t>
    </r>
    <r>
      <rPr>
        <sz val="12"/>
        <color theme="1"/>
        <rFont val="Aptos Narrow"/>
        <family val="2"/>
        <scheme val="minor"/>
      </rPr>
      <t xml:space="preserve">: 09.05.2024            </t>
    </r>
    <r>
      <rPr>
        <b/>
        <sz val="12"/>
        <color theme="1"/>
        <rFont val="Aptos Narrow"/>
        <family val="2"/>
        <scheme val="minor"/>
      </rPr>
      <t>OPUC</t>
    </r>
    <r>
      <rPr>
        <sz val="12"/>
        <color theme="1"/>
        <rFont val="Aptos Narrow"/>
        <family val="2"/>
        <scheme val="minor"/>
      </rPr>
      <t>: 11.10.2021</t>
    </r>
  </si>
  <si>
    <r>
      <rPr>
        <b/>
        <sz val="12"/>
        <color theme="1"/>
        <rFont val="Aptos Narrow"/>
        <family val="2"/>
        <scheme val="minor"/>
      </rPr>
      <t>OPUE</t>
    </r>
    <r>
      <rPr>
        <sz val="12"/>
        <color theme="1"/>
        <rFont val="Aptos Narrow"/>
        <family val="2"/>
        <scheme val="minor"/>
      </rPr>
      <t xml:space="preserve">: Drilled                </t>
    </r>
    <r>
      <rPr>
        <b/>
        <sz val="12"/>
        <color theme="1"/>
        <rFont val="Aptos Narrow"/>
        <family val="2"/>
        <scheme val="minor"/>
      </rPr>
      <t>OPUB</t>
    </r>
    <r>
      <rPr>
        <sz val="12"/>
        <color theme="1"/>
        <rFont val="Aptos Narrow"/>
        <family val="2"/>
        <scheme val="minor"/>
      </rPr>
      <t xml:space="preserve">: Drilled                       </t>
    </r>
    <r>
      <rPr>
        <b/>
        <sz val="12"/>
        <color theme="1"/>
        <rFont val="Aptos Narrow"/>
        <family val="2"/>
        <scheme val="minor"/>
      </rPr>
      <t>OPUH</t>
    </r>
    <r>
      <rPr>
        <sz val="12"/>
        <color theme="1"/>
        <rFont val="Aptos Narrow"/>
        <family val="2"/>
        <scheme val="minor"/>
      </rPr>
      <t xml:space="preserve">: Drilled      </t>
    </r>
    <r>
      <rPr>
        <b/>
        <sz val="12"/>
        <color theme="1"/>
        <rFont val="Aptos Narrow"/>
        <family val="2"/>
        <scheme val="minor"/>
      </rPr>
      <t>OPUF</t>
    </r>
    <r>
      <rPr>
        <sz val="12"/>
        <color theme="1"/>
        <rFont val="Aptos Narrow"/>
        <family val="2"/>
        <scheme val="minor"/>
      </rPr>
      <t xml:space="preserve">: Not drilled            </t>
    </r>
    <r>
      <rPr>
        <b/>
        <sz val="12"/>
        <color theme="1"/>
        <rFont val="Aptos Narrow"/>
        <family val="2"/>
        <scheme val="minor"/>
      </rPr>
      <t>OPUC</t>
    </r>
    <r>
      <rPr>
        <sz val="12"/>
        <color theme="1"/>
        <rFont val="Aptos Narrow"/>
        <family val="2"/>
        <scheme val="minor"/>
      </rPr>
      <t>: Not drilled</t>
    </r>
  </si>
  <si>
    <r>
      <rPr>
        <b/>
        <sz val="12"/>
        <color theme="1"/>
        <rFont val="Aptos Narrow"/>
        <family val="2"/>
        <scheme val="minor"/>
      </rPr>
      <t>OPUE</t>
    </r>
    <r>
      <rPr>
        <sz val="12"/>
        <color theme="1"/>
        <rFont val="Aptos Narrow"/>
        <family val="2"/>
        <scheme val="minor"/>
      </rPr>
      <t xml:space="preserve">: 1080 m                </t>
    </r>
    <r>
      <rPr>
        <b/>
        <sz val="12"/>
        <color theme="1"/>
        <rFont val="Aptos Narrow"/>
        <family val="2"/>
        <scheme val="minor"/>
      </rPr>
      <t>OPUB</t>
    </r>
    <r>
      <rPr>
        <sz val="12"/>
        <color theme="1"/>
        <rFont val="Aptos Narrow"/>
        <family val="2"/>
        <scheme val="minor"/>
      </rPr>
      <t xml:space="preserve">: 2004 m                       </t>
    </r>
    <r>
      <rPr>
        <b/>
        <sz val="12"/>
        <color theme="1"/>
        <rFont val="Aptos Narrow"/>
        <family val="2"/>
        <scheme val="minor"/>
      </rPr>
      <t>OPUH</t>
    </r>
    <r>
      <rPr>
        <sz val="12"/>
        <color theme="1"/>
        <rFont val="Aptos Narrow"/>
        <family val="2"/>
        <scheme val="minor"/>
      </rPr>
      <t xml:space="preserve">: 1500 m      </t>
    </r>
  </si>
  <si>
    <r>
      <rPr>
        <b/>
        <sz val="12"/>
        <color theme="1"/>
        <rFont val="Aptos Narrow"/>
        <family val="2"/>
        <scheme val="minor"/>
      </rPr>
      <t>OPUE</t>
    </r>
    <r>
      <rPr>
        <sz val="12"/>
        <color theme="1"/>
        <rFont val="Aptos Narrow"/>
        <family val="2"/>
        <scheme val="minor"/>
      </rPr>
      <t xml:space="preserve">: Dry                </t>
    </r>
    <r>
      <rPr>
        <b/>
        <sz val="12"/>
        <color theme="1"/>
        <rFont val="Aptos Narrow"/>
        <family val="2"/>
        <scheme val="minor"/>
      </rPr>
      <t>OPUB</t>
    </r>
    <r>
      <rPr>
        <sz val="12"/>
        <color theme="1"/>
        <rFont val="Aptos Narrow"/>
        <family val="2"/>
        <scheme val="minor"/>
      </rPr>
      <t xml:space="preserve">: Dry                       </t>
    </r>
    <r>
      <rPr>
        <b/>
        <sz val="12"/>
        <color theme="1"/>
        <rFont val="Aptos Narrow"/>
        <family val="2"/>
        <scheme val="minor"/>
      </rPr>
      <t>OPUH</t>
    </r>
    <r>
      <rPr>
        <sz val="12"/>
        <color theme="1"/>
        <rFont val="Aptos Narrow"/>
        <family val="2"/>
        <scheme val="minor"/>
      </rPr>
      <t xml:space="preserve">: Dry      </t>
    </r>
  </si>
  <si>
    <r>
      <t xml:space="preserve"> </t>
    </r>
    <r>
      <rPr>
        <b/>
        <sz val="12"/>
        <color theme="1"/>
        <rFont val="Aptos Narrow"/>
        <family val="2"/>
        <scheme val="minor"/>
      </rPr>
      <t>OPUF</t>
    </r>
    <r>
      <rPr>
        <sz val="12"/>
        <color theme="1"/>
        <rFont val="Aptos Narrow"/>
        <family val="2"/>
        <scheme val="minor"/>
      </rPr>
      <t xml:space="preserve">: Mid Nov. 2026           </t>
    </r>
    <r>
      <rPr>
        <b/>
        <sz val="12"/>
        <color theme="1"/>
        <rFont val="Aptos Narrow"/>
        <family val="2"/>
        <scheme val="minor"/>
      </rPr>
      <t>OPUC</t>
    </r>
    <r>
      <rPr>
        <sz val="12"/>
        <color theme="1"/>
        <rFont val="Aptos Narrow"/>
        <family val="2"/>
        <scheme val="minor"/>
      </rPr>
      <t xml:space="preserve">: </t>
    </r>
  </si>
  <si>
    <r>
      <t xml:space="preserve"> </t>
    </r>
    <r>
      <rPr>
        <b/>
        <sz val="12"/>
        <color theme="1"/>
        <rFont val="Aptos Narrow"/>
        <family val="2"/>
        <scheme val="minor"/>
      </rPr>
      <t>OPUF</t>
    </r>
    <r>
      <rPr>
        <sz val="12"/>
        <color theme="1"/>
        <rFont val="Aptos Narrow"/>
        <family val="2"/>
        <scheme val="minor"/>
      </rPr>
      <t xml:space="preserve">: Dec. 2026               </t>
    </r>
    <r>
      <rPr>
        <b/>
        <sz val="12"/>
        <color theme="1"/>
        <rFont val="Aptos Narrow"/>
        <family val="2"/>
        <scheme val="minor"/>
      </rPr>
      <t>OPUC</t>
    </r>
    <r>
      <rPr>
        <sz val="12"/>
        <color theme="1"/>
        <rFont val="Aptos Narrow"/>
        <family val="2"/>
        <scheme val="minor"/>
      </rPr>
      <t xml:space="preserve">: </t>
    </r>
  </si>
  <si>
    <r>
      <t xml:space="preserve"> </t>
    </r>
    <r>
      <rPr>
        <b/>
        <sz val="12"/>
        <color theme="1"/>
        <rFont val="Aptos Narrow"/>
        <family val="2"/>
        <scheme val="minor"/>
      </rPr>
      <t>OPUF</t>
    </r>
    <r>
      <rPr>
        <sz val="12"/>
        <color theme="1"/>
        <rFont val="Aptos Narrow"/>
        <family val="2"/>
        <scheme val="minor"/>
      </rPr>
      <t xml:space="preserve">: Civil work completed               </t>
    </r>
    <r>
      <rPr>
        <b/>
        <sz val="12"/>
        <color theme="1"/>
        <rFont val="Aptos Narrow"/>
        <family val="2"/>
        <scheme val="minor"/>
      </rPr>
      <t>OPUC</t>
    </r>
    <r>
      <rPr>
        <sz val="12"/>
        <color theme="1"/>
        <rFont val="Aptos Narrow"/>
        <family val="2"/>
        <scheme val="minor"/>
      </rPr>
      <t>: Land Acquisition through IDCO in progress</t>
    </r>
  </si>
  <si>
    <t>OBKB-R: 3393 m, OBKF: 2600 m</t>
  </si>
  <si>
    <r>
      <rPr>
        <b/>
        <sz val="12"/>
        <color theme="1"/>
        <rFont val="Aptos Narrow"/>
        <family val="2"/>
        <scheme val="minor"/>
      </rPr>
      <t>OBKB-R</t>
    </r>
    <r>
      <rPr>
        <sz val="12"/>
        <color theme="1"/>
        <rFont val="Aptos Narrow"/>
        <family val="2"/>
        <scheme val="minor"/>
      </rPr>
      <t xml:space="preserve">: Mesozoic clastic within early creataceous    </t>
    </r>
    <r>
      <rPr>
        <b/>
        <sz val="12"/>
        <color theme="1"/>
        <rFont val="Aptos Narrow"/>
        <family val="2"/>
        <scheme val="minor"/>
      </rPr>
      <t>OBKF</t>
    </r>
    <r>
      <rPr>
        <sz val="12"/>
        <color theme="1"/>
        <rFont val="Aptos Narrow"/>
        <family val="2"/>
        <scheme val="minor"/>
      </rPr>
      <t xml:space="preserve">:  Mesozoic clastic within early creataceous  </t>
    </r>
  </si>
  <si>
    <r>
      <rPr>
        <b/>
        <sz val="12"/>
        <color theme="1"/>
        <rFont val="Aptos Narrow"/>
        <family val="2"/>
        <scheme val="minor"/>
      </rPr>
      <t>OBKB-R</t>
    </r>
    <r>
      <rPr>
        <sz val="12"/>
        <color theme="1"/>
        <rFont val="Aptos Narrow"/>
        <family val="2"/>
        <scheme val="minor"/>
      </rPr>
      <t xml:space="preserve">: 34                    </t>
    </r>
    <r>
      <rPr>
        <b/>
        <sz val="12"/>
        <color theme="1"/>
        <rFont val="Aptos Narrow"/>
        <family val="2"/>
        <scheme val="minor"/>
      </rPr>
      <t>OBKF</t>
    </r>
    <r>
      <rPr>
        <sz val="12"/>
        <color theme="1"/>
        <rFont val="Aptos Narrow"/>
        <family val="2"/>
        <scheme val="minor"/>
      </rPr>
      <t xml:space="preserve">:  49 </t>
    </r>
  </si>
  <si>
    <r>
      <rPr>
        <b/>
        <sz val="12"/>
        <color theme="1"/>
        <rFont val="Aptos Narrow"/>
        <family val="2"/>
        <scheme val="minor"/>
      </rPr>
      <t>OBKB-R</t>
    </r>
    <r>
      <rPr>
        <sz val="12"/>
        <color theme="1"/>
        <rFont val="Aptos Narrow"/>
        <family val="2"/>
        <scheme val="minor"/>
      </rPr>
      <t xml:space="preserve">:31.10.2023    </t>
    </r>
    <r>
      <rPr>
        <b/>
        <sz val="12"/>
        <color theme="1"/>
        <rFont val="Aptos Narrow"/>
        <family val="2"/>
        <scheme val="minor"/>
      </rPr>
      <t>OBKF</t>
    </r>
    <r>
      <rPr>
        <sz val="12"/>
        <color theme="1"/>
        <rFont val="Aptos Narrow"/>
        <family val="2"/>
        <scheme val="minor"/>
      </rPr>
      <t xml:space="preserve">:  08.05.2026  </t>
    </r>
  </si>
  <si>
    <r>
      <rPr>
        <b/>
        <sz val="12"/>
        <color theme="1"/>
        <rFont val="Aptos Narrow"/>
        <family val="2"/>
        <scheme val="minor"/>
      </rPr>
      <t>OBKB-R</t>
    </r>
    <r>
      <rPr>
        <sz val="12"/>
        <color theme="1"/>
        <rFont val="Aptos Narrow"/>
        <family val="2"/>
        <scheme val="minor"/>
      </rPr>
      <t xml:space="preserve">:  Under drilling             </t>
    </r>
    <r>
      <rPr>
        <b/>
        <sz val="12"/>
        <color theme="1"/>
        <rFont val="Aptos Narrow"/>
        <family val="2"/>
        <scheme val="minor"/>
      </rPr>
      <t>OBKF</t>
    </r>
    <r>
      <rPr>
        <sz val="12"/>
        <color theme="1"/>
        <rFont val="Aptos Narrow"/>
        <family val="2"/>
        <scheme val="minor"/>
      </rPr>
      <t xml:space="preserve">:  Not drilled   </t>
    </r>
  </si>
  <si>
    <r>
      <rPr>
        <b/>
        <sz val="12"/>
        <color theme="1"/>
        <rFont val="Aptos Narrow"/>
        <family val="2"/>
        <scheme val="minor"/>
      </rPr>
      <t>OBKB-R</t>
    </r>
    <r>
      <rPr>
        <sz val="12"/>
        <color theme="1"/>
        <rFont val="Aptos Narrow"/>
        <family val="2"/>
        <scheme val="minor"/>
      </rPr>
      <t xml:space="preserve">:  Under drilling                </t>
    </r>
  </si>
  <si>
    <r>
      <t xml:space="preserve"> </t>
    </r>
    <r>
      <rPr>
        <b/>
        <sz val="12"/>
        <color theme="1"/>
        <rFont val="Aptos Narrow"/>
        <family val="2"/>
        <scheme val="minor"/>
      </rPr>
      <t>OBKF</t>
    </r>
    <r>
      <rPr>
        <sz val="12"/>
        <color theme="1"/>
        <rFont val="Aptos Narrow"/>
        <family val="2"/>
        <scheme val="minor"/>
      </rPr>
      <t xml:space="preserve">:  Aug 2027 </t>
    </r>
  </si>
  <si>
    <r>
      <t xml:space="preserve"> </t>
    </r>
    <r>
      <rPr>
        <b/>
        <sz val="12"/>
        <color theme="1"/>
        <rFont val="Aptos Narrow"/>
        <family val="2"/>
        <scheme val="minor"/>
      </rPr>
      <t>OBKF</t>
    </r>
    <r>
      <rPr>
        <sz val="12"/>
        <color theme="1"/>
        <rFont val="Aptos Narrow"/>
        <family val="2"/>
        <scheme val="minor"/>
      </rPr>
      <t xml:space="preserve">:  Dec 2027 </t>
    </r>
  </si>
  <si>
    <r>
      <t xml:space="preserve"> </t>
    </r>
    <r>
      <rPr>
        <b/>
        <sz val="12"/>
        <color theme="1"/>
        <rFont val="Aptos Narrow"/>
        <family val="2"/>
        <scheme val="minor"/>
      </rPr>
      <t>OBKF</t>
    </r>
    <r>
      <rPr>
        <sz val="12"/>
        <color theme="1"/>
        <rFont val="Aptos Narrow"/>
        <family val="2"/>
        <scheme val="minor"/>
      </rPr>
      <t xml:space="preserve">:  Civil survey in progress </t>
    </r>
  </si>
  <si>
    <t>OCUB: 1040 m, OCUD: 3201 m. OCUH: 3747 m</t>
  </si>
  <si>
    <r>
      <rPr>
        <b/>
        <sz val="12"/>
        <color theme="1"/>
        <rFont val="Aptos Narrow"/>
        <family val="2"/>
        <scheme val="minor"/>
      </rPr>
      <t>OCUB</t>
    </r>
    <r>
      <rPr>
        <sz val="12"/>
        <color theme="1"/>
        <rFont val="Aptos Narrow"/>
        <family val="2"/>
        <scheme val="minor"/>
      </rPr>
      <t xml:space="preserve">: Early Cretaceous  </t>
    </r>
    <r>
      <rPr>
        <b/>
        <sz val="12"/>
        <color theme="1"/>
        <rFont val="Aptos Narrow"/>
        <family val="2"/>
        <scheme val="minor"/>
      </rPr>
      <t>OCUD</t>
    </r>
    <r>
      <rPr>
        <sz val="12"/>
        <color theme="1"/>
        <rFont val="Aptos Narrow"/>
        <family val="2"/>
        <scheme val="minor"/>
      </rPr>
      <t xml:space="preserve">: Early Cretaceous  </t>
    </r>
    <r>
      <rPr>
        <b/>
        <sz val="12"/>
        <color theme="1"/>
        <rFont val="Aptos Narrow"/>
        <family val="2"/>
        <scheme val="minor"/>
      </rPr>
      <t>OCUH</t>
    </r>
    <r>
      <rPr>
        <sz val="12"/>
        <color theme="1"/>
        <rFont val="Aptos Narrow"/>
        <family val="2"/>
        <scheme val="minor"/>
      </rPr>
      <t>: Early Cretaceous</t>
    </r>
  </si>
  <si>
    <r>
      <rPr>
        <b/>
        <sz val="12"/>
        <color theme="1"/>
        <rFont val="Aptos Narrow"/>
        <family val="2"/>
        <scheme val="minor"/>
      </rPr>
      <t>OCUB</t>
    </r>
    <r>
      <rPr>
        <sz val="12"/>
        <color theme="1"/>
        <rFont val="Aptos Narrow"/>
        <family val="2"/>
        <scheme val="minor"/>
      </rPr>
      <t xml:space="preserve">: 23                      </t>
    </r>
    <r>
      <rPr>
        <b/>
        <sz val="12"/>
        <color theme="1"/>
        <rFont val="Aptos Narrow"/>
        <family val="2"/>
        <scheme val="minor"/>
      </rPr>
      <t>OCUD</t>
    </r>
    <r>
      <rPr>
        <sz val="12"/>
        <color theme="1"/>
        <rFont val="Aptos Narrow"/>
        <family val="2"/>
        <scheme val="minor"/>
      </rPr>
      <t xml:space="preserve">: 28                      </t>
    </r>
    <r>
      <rPr>
        <b/>
        <sz val="12"/>
        <color theme="1"/>
        <rFont val="Aptos Narrow"/>
        <family val="2"/>
        <scheme val="minor"/>
      </rPr>
      <t>OCUH</t>
    </r>
    <r>
      <rPr>
        <sz val="12"/>
        <color theme="1"/>
        <rFont val="Aptos Narrow"/>
        <family val="2"/>
        <scheme val="minor"/>
      </rPr>
      <t>: 28</t>
    </r>
  </si>
  <si>
    <r>
      <rPr>
        <b/>
        <sz val="12"/>
        <color theme="1"/>
        <rFont val="Aptos Narrow"/>
        <family val="2"/>
        <scheme val="minor"/>
      </rPr>
      <t>OCUB</t>
    </r>
    <r>
      <rPr>
        <sz val="12"/>
        <color theme="1"/>
        <rFont val="Aptos Narrow"/>
        <family val="2"/>
        <scheme val="minor"/>
      </rPr>
      <t xml:space="preserve">: 15.06.2022     </t>
    </r>
    <r>
      <rPr>
        <b/>
        <sz val="12"/>
        <color theme="1"/>
        <rFont val="Aptos Narrow"/>
        <family val="2"/>
        <scheme val="minor"/>
      </rPr>
      <t>OCUD</t>
    </r>
    <r>
      <rPr>
        <sz val="12"/>
        <color theme="1"/>
        <rFont val="Aptos Narrow"/>
        <family val="2"/>
        <scheme val="minor"/>
      </rPr>
      <t xml:space="preserve">: 30.01.2023     </t>
    </r>
    <r>
      <rPr>
        <b/>
        <sz val="12"/>
        <color theme="1"/>
        <rFont val="Aptos Narrow"/>
        <family val="2"/>
        <scheme val="minor"/>
      </rPr>
      <t>OCUH</t>
    </r>
    <r>
      <rPr>
        <sz val="12"/>
        <color theme="1"/>
        <rFont val="Aptos Narrow"/>
        <family val="2"/>
        <scheme val="minor"/>
      </rPr>
      <t>: 30.01.2023</t>
    </r>
  </si>
  <si>
    <r>
      <rPr>
        <b/>
        <sz val="12"/>
        <color theme="1"/>
        <rFont val="Aptos Narrow"/>
        <family val="2"/>
        <scheme val="minor"/>
      </rPr>
      <t>OCUB</t>
    </r>
    <r>
      <rPr>
        <sz val="12"/>
        <color theme="1"/>
        <rFont val="Aptos Narrow"/>
        <family val="2"/>
        <scheme val="minor"/>
      </rPr>
      <t xml:space="preserve">: Drilled     </t>
    </r>
    <r>
      <rPr>
        <b/>
        <sz val="12"/>
        <color theme="1"/>
        <rFont val="Aptos Narrow"/>
        <family val="2"/>
        <scheme val="minor"/>
      </rPr>
      <t>OCUD</t>
    </r>
    <r>
      <rPr>
        <sz val="12"/>
        <color theme="1"/>
        <rFont val="Aptos Narrow"/>
        <family val="2"/>
        <scheme val="minor"/>
      </rPr>
      <t xml:space="preserve">: Drilled     </t>
    </r>
    <r>
      <rPr>
        <b/>
        <sz val="12"/>
        <color theme="1"/>
        <rFont val="Aptos Narrow"/>
        <family val="2"/>
        <scheme val="minor"/>
      </rPr>
      <t>OCUH</t>
    </r>
    <r>
      <rPr>
        <sz val="12"/>
        <color theme="1"/>
        <rFont val="Aptos Narrow"/>
        <family val="2"/>
        <scheme val="minor"/>
      </rPr>
      <t>: Drilled</t>
    </r>
  </si>
  <si>
    <r>
      <rPr>
        <b/>
        <sz val="12"/>
        <color theme="1"/>
        <rFont val="Aptos Narrow"/>
        <family val="2"/>
        <scheme val="minor"/>
      </rPr>
      <t>OCUB</t>
    </r>
    <r>
      <rPr>
        <sz val="12"/>
        <color theme="1"/>
        <rFont val="Aptos Narrow"/>
        <family val="2"/>
        <scheme val="minor"/>
      </rPr>
      <t xml:space="preserve">: 1040 m     </t>
    </r>
    <r>
      <rPr>
        <b/>
        <sz val="12"/>
        <color theme="1"/>
        <rFont val="Aptos Narrow"/>
        <family val="2"/>
        <scheme val="minor"/>
      </rPr>
      <t>OCUD</t>
    </r>
    <r>
      <rPr>
        <sz val="12"/>
        <color theme="1"/>
        <rFont val="Aptos Narrow"/>
        <family val="2"/>
        <scheme val="minor"/>
      </rPr>
      <t xml:space="preserve">: 3201 m     </t>
    </r>
    <r>
      <rPr>
        <b/>
        <sz val="12"/>
        <color theme="1"/>
        <rFont val="Aptos Narrow"/>
        <family val="2"/>
        <scheme val="minor"/>
      </rPr>
      <t>OCUH</t>
    </r>
    <r>
      <rPr>
        <sz val="12"/>
        <color theme="1"/>
        <rFont val="Aptos Narrow"/>
        <family val="2"/>
        <scheme val="minor"/>
      </rPr>
      <t>: 3747 m</t>
    </r>
  </si>
  <si>
    <r>
      <rPr>
        <b/>
        <sz val="12"/>
        <color theme="1"/>
        <rFont val="Aptos Narrow"/>
        <family val="2"/>
        <scheme val="minor"/>
      </rPr>
      <t>OCUB</t>
    </r>
    <r>
      <rPr>
        <sz val="12"/>
        <color theme="1"/>
        <rFont val="Aptos Narrow"/>
        <family val="2"/>
        <scheme val="minor"/>
      </rPr>
      <t xml:space="preserve">: Dry      </t>
    </r>
    <r>
      <rPr>
        <b/>
        <sz val="12"/>
        <color theme="1"/>
        <rFont val="Aptos Narrow"/>
        <family val="2"/>
        <scheme val="minor"/>
      </rPr>
      <t>OCUD</t>
    </r>
    <r>
      <rPr>
        <sz val="12"/>
        <color theme="1"/>
        <rFont val="Aptos Narrow"/>
        <family val="2"/>
        <scheme val="minor"/>
      </rPr>
      <t xml:space="preserve">:  Not tested               </t>
    </r>
    <r>
      <rPr>
        <b/>
        <sz val="12"/>
        <color theme="1"/>
        <rFont val="Aptos Narrow"/>
        <family val="2"/>
        <scheme val="minor"/>
      </rPr>
      <t>OCUH</t>
    </r>
    <r>
      <rPr>
        <sz val="12"/>
        <color theme="1"/>
        <rFont val="Aptos Narrow"/>
        <family val="2"/>
        <scheme val="minor"/>
      </rPr>
      <t xml:space="preserve">:  Not tested (Thermogenic gas while N/down BOP) </t>
    </r>
  </si>
  <si>
    <t>OCUH: Biostratigraphic Study</t>
  </si>
  <si>
    <t>OALP Bid Round</t>
  </si>
  <si>
    <t>Contractual Structure</t>
  </si>
  <si>
    <t>Ideal Contractual Timelines</t>
  </si>
  <si>
    <t>Current Phase of the Block</t>
  </si>
  <si>
    <t>IEP/ Phase-I/ EP timelines</t>
  </si>
  <si>
    <t>SEP/ Phase-II timelines</t>
  </si>
  <si>
    <t>IEP/ Phase-I/ EP</t>
  </si>
  <si>
    <t>Permissible extensions</t>
  </si>
  <si>
    <t>SEP/ Phase-II</t>
  </si>
  <si>
    <t>IEP start date</t>
  </si>
  <si>
    <t>IEP/ Phase-I/ EP validity (contractual)</t>
  </si>
  <si>
    <t>Extensions granted</t>
  </si>
  <si>
    <t>IEP validity (current)</t>
  </si>
  <si>
    <t>Whether policy dated 11.11.25 availed</t>
  </si>
  <si>
    <t>SEP start date</t>
  </si>
  <si>
    <t>SEP validity (contractual)</t>
  </si>
  <si>
    <t>SEP validity (revised)</t>
  </si>
  <si>
    <t>IEP+SEP</t>
  </si>
  <si>
    <t>3 years</t>
  </si>
  <si>
    <t>1 year</t>
  </si>
  <si>
    <t>IEP</t>
  </si>
  <si>
    <t>26.07.2023</t>
  </si>
  <si>
    <t>1. 1 year as per Article 3.4 (a)
2. 217 days of Force Majeure due to COVID</t>
  </si>
  <si>
    <t>22.08.2025</t>
  </si>
  <si>
    <t>Yes; applied for 2 quarters</t>
  </si>
  <si>
    <t>Yes; applied for 1 quarter</t>
  </si>
  <si>
    <t>08.03.2024</t>
  </si>
  <si>
    <t>1 year as per Article 3.4 (a)</t>
  </si>
  <si>
    <t>21.07.2023</t>
  </si>
  <si>
    <t>1. 1 year as per Article 3.4 (a)
2. 222 days of Force Majeure due to COVID</t>
  </si>
  <si>
    <t>Phase-I + Phase-II</t>
  </si>
  <si>
    <t>18 months</t>
  </si>
  <si>
    <t>4 years</t>
  </si>
  <si>
    <t>Phase-I</t>
  </si>
  <si>
    <t>19.01.2029</t>
  </si>
  <si>
    <t>Single Phase</t>
  </si>
  <si>
    <t>EP</t>
  </si>
  <si>
    <t>19.01.2030</t>
  </si>
  <si>
    <t>Amount of BG submitted (USD)</t>
  </si>
  <si>
    <t>Amount of BG submitted (INR)</t>
  </si>
  <si>
    <t>BG validity till</t>
  </si>
  <si>
    <t>BG calim date</t>
  </si>
  <si>
    <t>BG renewal timeline (as per RSC)</t>
  </si>
  <si>
    <t>28.02.2027</t>
  </si>
  <si>
    <t>29.04.2027</t>
  </si>
  <si>
    <t>10 days prior to expiry</t>
  </si>
  <si>
    <t>07.05.2027</t>
  </si>
  <si>
    <t>14.04.2028</t>
  </si>
  <si>
    <t>13.06.2028</t>
  </si>
  <si>
    <t>14.04.2029</t>
  </si>
  <si>
    <t>13.06.2029</t>
  </si>
  <si>
    <t>Investment Made (INR)</t>
  </si>
  <si>
    <t>Liquidated Damages (LD) paid</t>
  </si>
  <si>
    <t>Paid extensions availed</t>
  </si>
  <si>
    <t>Total outgo (INR)</t>
  </si>
  <si>
    <t>Seismic</t>
  </si>
  <si>
    <t>Others</t>
  </si>
  <si>
    <t>Total</t>
  </si>
  <si>
    <t>Seismic (Mill USD)</t>
  </si>
  <si>
    <t>Wells (Mill USD)</t>
  </si>
  <si>
    <t>Others (Mill USD)</t>
  </si>
  <si>
    <t>Total (Mill USD)</t>
  </si>
  <si>
    <t>Total ( Cr INR)</t>
  </si>
  <si>
    <t>Quarters</t>
  </si>
  <si>
    <t>Amount (USD)</t>
  </si>
  <si>
    <t>Amount (INR)</t>
  </si>
  <si>
    <t>No. of MC meetings held</t>
  </si>
  <si>
    <t>Dates of MCRs</t>
  </si>
  <si>
    <t>i) 1st- 15.09.2020
ii) 2nd- 15.06.2021
iii) 3rd- 18.01.2022
iv) 4th- 18.04.2023
v) 5th- 16.01.2024
vi) 6th- 19.12.2024</t>
  </si>
  <si>
    <t>i) 1st- 15.09.2020
ii) 2nd- 15.06.2021
iii) 3rd- 18.01.2022
iv) 4th- 18.04.2023
v) 5th- 16.01.2024
vi) 6th- 10.12.2024</t>
  </si>
  <si>
    <t>i) 1st- 15.06.2021
ii) 2nd- 18.01.2022
iii) 3rd- 18.04.2023
iv) 4th- 16.01.2024
v) 5th- 09.12.2024</t>
  </si>
  <si>
    <t>i) 1st- 15.09.2020
ii) 2nd- 15.06.2021
iii) 3rd- 18.01.2022
iv) 4th- 
v) 5th- 09.11.2023
vi) 6th- 16.10.2024
vii) 7th- 12.08.2025</t>
  </si>
  <si>
    <t>Basins</t>
  </si>
  <si>
    <t>Mumbai Offshore</t>
  </si>
  <si>
    <t>Assam Shelf</t>
  </si>
  <si>
    <t>Assam Arakan Fold Belt</t>
  </si>
  <si>
    <t>Rajasthan</t>
  </si>
  <si>
    <t>Cauvery</t>
  </si>
  <si>
    <t>Cambay</t>
  </si>
  <si>
    <t>Kutch</t>
  </si>
  <si>
    <t>Andaman Nicobar</t>
  </si>
  <si>
    <t>Vindhyan</t>
  </si>
  <si>
    <t>Himalayan Foreland/ Ganga/ Punjab</t>
  </si>
  <si>
    <t>Kerala Konakan</t>
  </si>
  <si>
    <t>Bengal Purnea</t>
  </si>
  <si>
    <t>Saurashtra</t>
  </si>
  <si>
    <t>Pranhita Godavari</t>
  </si>
  <si>
    <t>Project</t>
  </si>
  <si>
    <t>Location</t>
  </si>
  <si>
    <t>EC Applied On</t>
  </si>
  <si>
    <t>EC Received On</t>
  </si>
  <si>
    <t>Validity of EC</t>
  </si>
  <si>
    <t>CTE Applied On</t>
  </si>
  <si>
    <t>CTE Received On</t>
  </si>
  <si>
    <t>Validity of CTE</t>
  </si>
  <si>
    <t>CTO Applied On</t>
  </si>
  <si>
    <t>CTO Received On</t>
  </si>
  <si>
    <t>Validity of CTO</t>
  </si>
  <si>
    <t>Remarks</t>
  </si>
  <si>
    <t>Mahanadi Basin Project</t>
  </si>
  <si>
    <t>OBRA</t>
  </si>
  <si>
    <t>11.09.2020</t>
  </si>
  <si>
    <t>01.02.2021</t>
  </si>
  <si>
    <t>up to 31.01.2028</t>
  </si>
  <si>
    <t>05.08.2025</t>
  </si>
  <si>
    <t>24.11.2025</t>
  </si>
  <si>
    <t>23.11.2030</t>
  </si>
  <si>
    <t>24.02.2026</t>
  </si>
  <si>
    <t>31.03.2026</t>
  </si>
  <si>
    <t>OPUB &amp; OPUH</t>
  </si>
  <si>
    <t>29/08/2022</t>
  </si>
  <si>
    <t>25/11/2022</t>
  </si>
  <si>
    <t>up to 24.11.2027</t>
  </si>
  <si>
    <t>06/01/2023</t>
  </si>
  <si>
    <t>26/05/2023</t>
  </si>
  <si>
    <t>31.03.2025</t>
  </si>
  <si>
    <t>Abandoned</t>
  </si>
  <si>
    <t>OPUC</t>
  </si>
  <si>
    <t>Applied, however pending due to land acquisition</t>
  </si>
  <si>
    <t>Not applied</t>
  </si>
  <si>
    <t>Land Acquisition is in process</t>
  </si>
  <si>
    <t>OPUE</t>
  </si>
  <si>
    <t>16/05/2023</t>
  </si>
  <si>
    <t>31.03.2024</t>
  </si>
  <si>
    <t>OPUF</t>
  </si>
  <si>
    <t>Civil Work is completed</t>
  </si>
  <si>
    <t>OKBK / OKBK-R</t>
  </si>
  <si>
    <t>10/09/2024</t>
  </si>
  <si>
    <t>01/01/2025</t>
  </si>
  <si>
    <t>up to 31.12.2029</t>
  </si>
  <si>
    <t>06/05/2025</t>
  </si>
  <si>
    <t>24/06/2025</t>
  </si>
  <si>
    <t>31.03.2027</t>
  </si>
  <si>
    <t>CTO renewal date 04.04.2026 and validity of CTO is upto 31.03.2027.</t>
  </si>
  <si>
    <t>NIL</t>
  </si>
  <si>
    <t>This location is relinquished.</t>
  </si>
  <si>
    <t>OCUB</t>
  </si>
  <si>
    <t>19/07/2023</t>
  </si>
  <si>
    <t>up to 18.07.2028</t>
  </si>
  <si>
    <t>16/10/2023</t>
  </si>
  <si>
    <t>16/11/2023</t>
  </si>
  <si>
    <t>OCUD</t>
  </si>
  <si>
    <t>13/02/2024</t>
  </si>
  <si>
    <t>27/06/2024</t>
  </si>
  <si>
    <t>up to 26.06.2029</t>
  </si>
  <si>
    <t>25/06/2024</t>
  </si>
  <si>
    <t>12/07/2024</t>
  </si>
  <si>
    <t>OCUH</t>
  </si>
  <si>
    <t>CTO renewal date 31.03.2025 and validity of CTO is upto 31.03.2026.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</si>
</sst>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78B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1F2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7" fillId="0" borderId="0"/>
  </cellStyleXfs>
  <cellXfs count="3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wrapText="1"/>
    </xf>
    <xf numFmtId="10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/>
    </xf>
    <xf numFmtId="164" fontId="0" fillId="0" borderId="1" xfId="1" applyNumberFormat="1" applyFont="1" applyBorder="1"/>
    <xf numFmtId="164" fontId="1" fillId="0" borderId="1" xfId="1" applyNumberFormat="1" applyFont="1" applyBorder="1"/>
    <xf numFmtId="164" fontId="1" fillId="0" borderId="1" xfId="1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8" fillId="2" borderId="0" xfId="2" applyFont="1" applyFill="1" applyAlignment="1">
      <alignment horizontal="center" vertical="center" wrapText="1"/>
    </xf>
    <xf numFmtId="0" fontId="7" fillId="0" borderId="0" xfId="2"/>
    <xf numFmtId="0" fontId="7" fillId="0" borderId="7" xfId="2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Normal 2" xfId="2" xr:uid="{D136F879-EC1B-C54D-A5CB-65A9C5103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235B3-0543-FC44-9401-CBC590A1FD4A}" name="Statutory_Clearances" displayName="Statutory_Clearances" ref="A1:M11">
  <autoFilter ref="A1:M11" xr:uid="{00000000-0009-0000-0100-000001000000}"/>
  <tableColumns count="13">
    <tableColumn id="1" xr3:uid="{963A4787-C9C7-6142-A45E-841BDAEAA514}" name="Project"/>
    <tableColumn id="2" xr3:uid="{BE0D7590-0490-A240-ADA7-365AB7F211C0}" name="Block"/>
    <tableColumn id="3" xr3:uid="{8AA64E96-0191-734E-ADE7-1E26CEEF6F08}" name="Location"/>
    <tableColumn id="4" xr3:uid="{D63827CB-BB23-3D40-B9BB-4DAB065BB0DC}" name="EC Applied On"/>
    <tableColumn id="5" xr3:uid="{A63F6862-33C2-F14F-BBA3-96B1F1BF919F}" name="EC Received On"/>
    <tableColumn id="6" xr3:uid="{24722BBA-470C-6C47-A87D-3D104E6D1C2E}" name="Validity of EC"/>
    <tableColumn id="7" xr3:uid="{9D61C40A-CA4C-E844-B1F1-C4FF53831E6B}" name="CTE Applied On"/>
    <tableColumn id="8" xr3:uid="{1F8A8E45-0E71-D644-9374-F9BAD03FC834}" name="CTE Received On"/>
    <tableColumn id="9" xr3:uid="{A6AE8359-10B4-6943-A23D-968B55068BB2}" name="Validity of CTE"/>
    <tableColumn id="10" xr3:uid="{E5EAE003-10F2-9F43-B9BF-276D9AE188C2}" name="CTO Applied On"/>
    <tableColumn id="11" xr3:uid="{4D888398-5501-2843-A762-849C3D34C254}" name="CTO Received On"/>
    <tableColumn id="12" xr3:uid="{8FF45576-074A-644E-9DE5-B070CA346D63}" name="Validity of CTO"/>
    <tableColumn id="13" xr3:uid="{8B44F839-FCEB-F841-A27E-E344CD723405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64B7-3514-7247-8153-10D8AD2585F5}">
  <dimension ref="A2:P21"/>
  <sheetViews>
    <sheetView zoomScale="120" zoomScaleNormal="120" workbookViewId="0">
      <selection activeCell="O6" sqref="O6"/>
    </sheetView>
  </sheetViews>
  <sheetFormatPr defaultColWidth="11" defaultRowHeight="15.95"/>
  <cols>
    <col min="2" max="2" width="19.625" customWidth="1"/>
    <col min="3" max="3" width="12.625" customWidth="1"/>
    <col min="4" max="4" width="12.375" customWidth="1"/>
    <col min="5" max="5" width="28.875" bestFit="1" customWidth="1"/>
    <col min="6" max="6" width="15.875" customWidth="1"/>
    <col min="7" max="7" width="12.375" customWidth="1"/>
    <col min="8" max="8" width="15.875" customWidth="1"/>
    <col min="9" max="9" width="18.625" customWidth="1"/>
    <col min="10" max="10" width="11.875" customWidth="1"/>
    <col min="11" max="11" width="10.375" customWidth="1"/>
    <col min="12" max="12" width="14.625" customWidth="1"/>
    <col min="13" max="13" width="15.5" customWidth="1"/>
    <col min="14" max="15" width="14.875" customWidth="1"/>
    <col min="16" max="16" width="14.5" customWidth="1"/>
  </cols>
  <sheetData>
    <row r="2" spans="1:16" ht="15.95" customHeight="1">
      <c r="A2" s="23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5" t="s">
        <v>5</v>
      </c>
      <c r="G2" s="27" t="s">
        <v>6</v>
      </c>
      <c r="H2" s="23" t="s">
        <v>7</v>
      </c>
      <c r="I2" s="23" t="s">
        <v>8</v>
      </c>
      <c r="J2" s="23" t="s">
        <v>9</v>
      </c>
      <c r="K2" s="23"/>
      <c r="L2" s="23"/>
      <c r="M2" s="23" t="s">
        <v>10</v>
      </c>
      <c r="N2" s="24" t="s">
        <v>11</v>
      </c>
      <c r="O2" s="24" t="s">
        <v>12</v>
      </c>
      <c r="P2" s="24" t="s">
        <v>13</v>
      </c>
    </row>
    <row r="3" spans="1:16">
      <c r="A3" s="23"/>
      <c r="B3" s="23"/>
      <c r="C3" s="23"/>
      <c r="D3" s="23"/>
      <c r="E3" s="23"/>
      <c r="F3" s="26"/>
      <c r="G3" s="28"/>
      <c r="H3" s="23"/>
      <c r="I3" s="23"/>
      <c r="J3" s="3" t="s">
        <v>14</v>
      </c>
      <c r="K3" s="3" t="s">
        <v>15</v>
      </c>
      <c r="L3" s="3" t="s">
        <v>16</v>
      </c>
      <c r="M3" s="23"/>
      <c r="N3" s="24"/>
      <c r="O3" s="24"/>
      <c r="P3" s="24"/>
    </row>
    <row r="4" spans="1:16" ht="84.95">
      <c r="A4" s="6">
        <v>1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19</v>
      </c>
      <c r="H4" s="6" t="s">
        <v>22</v>
      </c>
      <c r="I4" s="14" t="s">
        <v>23</v>
      </c>
      <c r="J4" s="6">
        <v>2933.85</v>
      </c>
      <c r="K4" s="6" t="s">
        <v>24</v>
      </c>
      <c r="L4" s="6"/>
      <c r="M4" s="6" t="s">
        <v>25</v>
      </c>
      <c r="N4" s="6" t="s">
        <v>26</v>
      </c>
      <c r="O4" s="6" t="s">
        <v>27</v>
      </c>
      <c r="P4" s="6"/>
    </row>
    <row r="5" spans="1:16">
      <c r="A5" s="6">
        <v>2</v>
      </c>
      <c r="B5" s="6" t="s">
        <v>28</v>
      </c>
      <c r="C5" s="6" t="s">
        <v>18</v>
      </c>
      <c r="D5" s="6" t="s">
        <v>19</v>
      </c>
      <c r="E5" s="6" t="s">
        <v>29</v>
      </c>
      <c r="F5" s="6" t="s">
        <v>21</v>
      </c>
      <c r="G5" s="6" t="s">
        <v>19</v>
      </c>
      <c r="H5" s="6" t="s">
        <v>22</v>
      </c>
      <c r="I5" s="6" t="s">
        <v>30</v>
      </c>
      <c r="J5" s="6">
        <v>2539.5100000000002</v>
      </c>
      <c r="K5" s="6" t="s">
        <v>24</v>
      </c>
      <c r="L5" s="6"/>
      <c r="M5" s="6" t="s">
        <v>25</v>
      </c>
      <c r="N5" s="6" t="s">
        <v>26</v>
      </c>
      <c r="O5" s="6" t="s">
        <v>27</v>
      </c>
      <c r="P5" s="6"/>
    </row>
    <row r="6" spans="1:16" ht="33.950000000000003">
      <c r="A6" s="6">
        <v>3</v>
      </c>
      <c r="B6" s="6" t="s">
        <v>31</v>
      </c>
      <c r="C6" s="6" t="s">
        <v>18</v>
      </c>
      <c r="D6" s="6" t="s">
        <v>19</v>
      </c>
      <c r="E6" s="6" t="s">
        <v>29</v>
      </c>
      <c r="F6" s="6" t="s">
        <v>21</v>
      </c>
      <c r="G6" s="6" t="s">
        <v>19</v>
      </c>
      <c r="H6" s="6" t="s">
        <v>22</v>
      </c>
      <c r="I6" s="14" t="s">
        <v>32</v>
      </c>
      <c r="J6" s="6">
        <v>3138.59</v>
      </c>
      <c r="K6" s="6">
        <v>3097.12</v>
      </c>
      <c r="L6" s="6"/>
      <c r="M6" s="6" t="s">
        <v>25</v>
      </c>
      <c r="N6" s="6" t="s">
        <v>26</v>
      </c>
      <c r="O6" s="6" t="s">
        <v>27</v>
      </c>
      <c r="P6" s="6"/>
    </row>
    <row r="7" spans="1:16" ht="68.099999999999994">
      <c r="A7" s="6">
        <v>4</v>
      </c>
      <c r="B7" s="6" t="s">
        <v>33</v>
      </c>
      <c r="C7" s="6" t="s">
        <v>18</v>
      </c>
      <c r="D7" s="6" t="s">
        <v>34</v>
      </c>
      <c r="E7" s="6" t="s">
        <v>29</v>
      </c>
      <c r="F7" s="6" t="s">
        <v>21</v>
      </c>
      <c r="G7" s="6" t="s">
        <v>19</v>
      </c>
      <c r="H7" s="6" t="s">
        <v>22</v>
      </c>
      <c r="I7" s="14" t="s">
        <v>35</v>
      </c>
      <c r="J7" s="6">
        <v>3196.86</v>
      </c>
      <c r="K7" s="6">
        <v>2874.52</v>
      </c>
      <c r="L7" s="6"/>
      <c r="M7" s="6" t="s">
        <v>25</v>
      </c>
      <c r="N7" s="6" t="s">
        <v>36</v>
      </c>
      <c r="O7" s="6" t="s">
        <v>36</v>
      </c>
      <c r="P7" s="6" t="s">
        <v>37</v>
      </c>
    </row>
    <row r="8" spans="1:16" ht="68.099999999999994">
      <c r="A8" s="6">
        <v>5</v>
      </c>
      <c r="B8" s="6" t="s">
        <v>38</v>
      </c>
      <c r="C8" s="6" t="s">
        <v>18</v>
      </c>
      <c r="D8" s="6" t="s">
        <v>34</v>
      </c>
      <c r="E8" s="6" t="s">
        <v>29</v>
      </c>
      <c r="F8" s="6" t="s">
        <v>21</v>
      </c>
      <c r="G8" s="6" t="s">
        <v>19</v>
      </c>
      <c r="H8" s="6" t="s">
        <v>22</v>
      </c>
      <c r="I8" s="14" t="s">
        <v>39</v>
      </c>
      <c r="J8" s="6">
        <v>2299.7399999999998</v>
      </c>
      <c r="K8" s="6" t="s">
        <v>24</v>
      </c>
      <c r="L8" s="6"/>
      <c r="M8" s="6" t="s">
        <v>25</v>
      </c>
      <c r="N8" s="6" t="s">
        <v>26</v>
      </c>
      <c r="O8" s="6" t="s">
        <v>27</v>
      </c>
      <c r="P8" s="6"/>
    </row>
    <row r="9" spans="1:16">
      <c r="A9" s="6">
        <v>6</v>
      </c>
      <c r="B9" s="6" t="s">
        <v>40</v>
      </c>
      <c r="C9" s="6" t="s">
        <v>18</v>
      </c>
      <c r="D9" s="6" t="s">
        <v>41</v>
      </c>
      <c r="E9" s="6" t="s">
        <v>42</v>
      </c>
      <c r="F9" s="6" t="s">
        <v>21</v>
      </c>
      <c r="G9" s="6" t="s">
        <v>19</v>
      </c>
      <c r="H9" s="6" t="s">
        <v>43</v>
      </c>
      <c r="I9" s="6" t="s">
        <v>24</v>
      </c>
      <c r="J9" s="6">
        <v>9425.84</v>
      </c>
      <c r="K9" s="6" t="s">
        <v>24</v>
      </c>
      <c r="L9" s="6"/>
      <c r="M9" s="6" t="s">
        <v>44</v>
      </c>
      <c r="N9" s="6" t="s">
        <v>26</v>
      </c>
      <c r="O9" s="6" t="s">
        <v>27</v>
      </c>
      <c r="P9" s="6"/>
    </row>
    <row r="10" spans="1:16">
      <c r="A10" s="6">
        <v>7</v>
      </c>
      <c r="B10" s="6" t="s">
        <v>45</v>
      </c>
      <c r="C10" s="6" t="s">
        <v>18</v>
      </c>
      <c r="D10" s="6" t="s">
        <v>41</v>
      </c>
      <c r="E10" s="6" t="s">
        <v>42</v>
      </c>
      <c r="F10" s="6" t="s">
        <v>21</v>
      </c>
      <c r="G10" s="6" t="s">
        <v>19</v>
      </c>
      <c r="H10" s="6" t="s">
        <v>43</v>
      </c>
      <c r="I10" s="6" t="s">
        <v>24</v>
      </c>
      <c r="J10" s="6">
        <v>9831.48</v>
      </c>
      <c r="K10" s="6" t="s">
        <v>24</v>
      </c>
      <c r="L10" s="6"/>
      <c r="M10" s="6" t="s">
        <v>44</v>
      </c>
      <c r="N10" s="6" t="s">
        <v>26</v>
      </c>
      <c r="O10" s="6" t="s">
        <v>27</v>
      </c>
      <c r="P10" s="6"/>
    </row>
    <row r="11" spans="1:16">
      <c r="A11" s="6">
        <v>8</v>
      </c>
      <c r="B11" s="6" t="s">
        <v>46</v>
      </c>
      <c r="C11" s="6" t="s">
        <v>18</v>
      </c>
      <c r="D11" s="6" t="s">
        <v>41</v>
      </c>
      <c r="E11" s="6" t="s">
        <v>42</v>
      </c>
      <c r="F11" s="6" t="s">
        <v>47</v>
      </c>
      <c r="G11" s="6" t="s">
        <v>48</v>
      </c>
      <c r="H11" s="6" t="s">
        <v>43</v>
      </c>
      <c r="I11" s="6" t="s">
        <v>24</v>
      </c>
      <c r="J11" s="6">
        <v>9495.16</v>
      </c>
      <c r="K11" s="6" t="s">
        <v>24</v>
      </c>
      <c r="L11" s="6"/>
      <c r="M11" s="6" t="s">
        <v>44</v>
      </c>
      <c r="N11" s="6" t="s">
        <v>26</v>
      </c>
      <c r="O11" s="6" t="s">
        <v>27</v>
      </c>
      <c r="P11" s="6"/>
    </row>
    <row r="12" spans="1:16">
      <c r="A12" s="6">
        <v>9</v>
      </c>
      <c r="B12" s="6" t="s">
        <v>49</v>
      </c>
      <c r="C12" s="6" t="s">
        <v>18</v>
      </c>
      <c r="D12" s="6" t="s">
        <v>41</v>
      </c>
      <c r="E12" s="6" t="s">
        <v>42</v>
      </c>
      <c r="F12" s="6" t="s">
        <v>47</v>
      </c>
      <c r="G12" s="6" t="s">
        <v>48</v>
      </c>
      <c r="H12" s="6" t="s">
        <v>43</v>
      </c>
      <c r="I12" s="6" t="s">
        <v>24</v>
      </c>
      <c r="J12" s="6">
        <v>9223.2199999999993</v>
      </c>
      <c r="K12" s="6" t="s">
        <v>24</v>
      </c>
      <c r="L12" s="6"/>
      <c r="M12" s="6" t="s">
        <v>44</v>
      </c>
      <c r="N12" s="6" t="s">
        <v>26</v>
      </c>
      <c r="O12" s="6" t="s">
        <v>27</v>
      </c>
      <c r="P12" s="6"/>
    </row>
    <row r="13" spans="1:1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</sheetData>
  <mergeCells count="14">
    <mergeCell ref="A2:A3"/>
    <mergeCell ref="B2:B3"/>
    <mergeCell ref="C2:C3"/>
    <mergeCell ref="D2:D3"/>
    <mergeCell ref="E2:E3"/>
    <mergeCell ref="M2:M3"/>
    <mergeCell ref="N2:N3"/>
    <mergeCell ref="P2:P3"/>
    <mergeCell ref="F2:F3"/>
    <mergeCell ref="G2:G3"/>
    <mergeCell ref="O2:O3"/>
    <mergeCell ref="J2:L2"/>
    <mergeCell ref="H2:H3"/>
    <mergeCell ref="I2:I3"/>
  </mergeCells>
  <phoneticPr fontId="3" type="noConversion"/>
  <dataValidations count="9">
    <dataValidation type="list" allowBlank="1" showInputMessage="1" showErrorMessage="1" sqref="C4:C20" xr:uid="{BA8D353F-6A23-4740-8DEF-07F10A39D361}">
      <formula1>"NELP, OALP, DSF, CBM, Nomination"</formula1>
    </dataValidation>
    <dataValidation type="list" allowBlank="1" showInputMessage="1" showErrorMessage="1" sqref="D4:D20" xr:uid="{69F53AAE-AD28-C84B-A5BE-985E17C19EA8}">
      <formula1>"I, II, III, IV, V, VI, VII, VIII, IX, X, XI"</formula1>
    </dataValidation>
    <dataValidation type="list" allowBlank="1" showInputMessage="1" showErrorMessage="1" sqref="E4:E20" xr:uid="{30F431F5-43FF-0045-9044-5EF7B76AD73B}">
      <formula1>"Onland, Shallow Offshore, Deep Water, Ultra Deep Water, Combination (Onland + Offshore)"</formula1>
    </dataValidation>
    <dataValidation type="list" allowBlank="1" showInputMessage="1" showErrorMessage="1" sqref="H4:H8 H13:H20" xr:uid="{63D7FEC3-EE29-8649-BB41-4703E9756108}">
      <formula1>"Assam, Arunachal Pradesh, Tripura, Nagaland, Meghalaya, Gujarat, Rajasthan, Odisha"</formula1>
    </dataValidation>
    <dataValidation type="list" allowBlank="1" showInputMessage="1" showErrorMessage="1" sqref="G4:G20" xr:uid="{5D547BAA-47B0-8347-81F8-F2621DD0E6BD}">
      <formula1>"I, II, III"</formula1>
    </dataValidation>
    <dataValidation type="list" allowBlank="1" showInputMessage="1" showErrorMessage="1" sqref="O13:O20" xr:uid="{0B512227-F39F-C040-BBAD-1A46F4CAFFF6}">
      <formula1>"Exploration, Appraisal, Development, NA"</formula1>
    </dataValidation>
    <dataValidation type="list" allowBlank="1" showInputMessage="1" showErrorMessage="1" sqref="H9:H12" xr:uid="{B6CFFB15-1F16-934C-BCC9-1D00C3DD67CE}">
      <formula1>"Assam, Arunachal Pradesh, Tripura, Nagaland, Meghalaya, Gujarat, Rajasthan, Odisha, Offshore"</formula1>
    </dataValidation>
    <dataValidation type="list" allowBlank="1" showInputMessage="1" showErrorMessage="1" sqref="N4:N12" xr:uid="{F81F0E5D-F34D-DD4E-B7EE-965EB6F80745}">
      <formula1>"Active, Relinquished"</formula1>
    </dataValidation>
    <dataValidation type="list" allowBlank="1" showInputMessage="1" showErrorMessage="1" sqref="O4:O12" xr:uid="{7108D9E8-5E42-5645-8776-D51882210475}">
      <formula1>"Exploration, Appraisal, Development, Relinquished"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FE662D-628D-214E-BD93-D69F505574DC}">
          <x14:formula1>
            <xm:f>'Backup Database'!$A$3:$A$18</xm:f>
          </x14:formula1>
          <xm:sqref>F4:F20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1E730-5973-5F4D-8BBB-33BA1D8979C3}">
  <dimension ref="A2:J21"/>
  <sheetViews>
    <sheetView zoomScale="120" zoomScaleNormal="120" workbookViewId="0">
      <selection activeCell="E27" sqref="E27"/>
    </sheetView>
  </sheetViews>
  <sheetFormatPr defaultColWidth="11" defaultRowHeight="15.95"/>
  <cols>
    <col min="2" max="2" width="19.625" customWidth="1"/>
    <col min="3" max="3" width="17.875" customWidth="1"/>
    <col min="4" max="4" width="20.625" customWidth="1"/>
    <col min="5" max="5" width="20.5" customWidth="1"/>
    <col min="6" max="6" width="15.875" customWidth="1"/>
    <col min="7" max="8" width="14.875" customWidth="1"/>
    <col min="9" max="10" width="14" customWidth="1"/>
    <col min="11" max="11" width="12.625" customWidth="1"/>
  </cols>
  <sheetData>
    <row r="2" spans="1:10" ht="15.95" customHeight="1">
      <c r="A2" s="23" t="s">
        <v>0</v>
      </c>
      <c r="B2" s="23" t="s">
        <v>1</v>
      </c>
      <c r="C2" s="24" t="s">
        <v>50</v>
      </c>
      <c r="D2" s="24" t="s">
        <v>51</v>
      </c>
      <c r="E2" s="27" t="s">
        <v>52</v>
      </c>
      <c r="F2" s="24" t="s">
        <v>53</v>
      </c>
      <c r="G2" s="24" t="s">
        <v>54</v>
      </c>
      <c r="H2" s="24" t="s">
        <v>55</v>
      </c>
      <c r="I2" s="24" t="s">
        <v>56</v>
      </c>
      <c r="J2" s="24" t="s">
        <v>57</v>
      </c>
    </row>
    <row r="3" spans="1:10" ht="33.950000000000003" customHeight="1">
      <c r="A3" s="23"/>
      <c r="B3" s="23"/>
      <c r="C3" s="24"/>
      <c r="D3" s="24"/>
      <c r="E3" s="28"/>
      <c r="F3" s="24"/>
      <c r="G3" s="24"/>
      <c r="H3" s="24"/>
      <c r="I3" s="24"/>
      <c r="J3" s="24"/>
    </row>
    <row r="4" spans="1:10">
      <c r="A4" s="6">
        <v>1</v>
      </c>
      <c r="B4" s="6" t="s">
        <v>17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62</v>
      </c>
      <c r="H4" s="6" t="s">
        <v>63</v>
      </c>
      <c r="I4" s="6">
        <v>2000</v>
      </c>
      <c r="J4" s="17">
        <f>I4*'Block Details'!J4</f>
        <v>5867700</v>
      </c>
    </row>
    <row r="5" spans="1:10">
      <c r="A5" s="6">
        <v>2</v>
      </c>
      <c r="B5" s="6" t="s">
        <v>28</v>
      </c>
      <c r="C5" s="6" t="s">
        <v>64</v>
      </c>
      <c r="D5" s="6" t="s">
        <v>60</v>
      </c>
      <c r="E5" s="6" t="s">
        <v>60</v>
      </c>
      <c r="F5" s="6" t="s">
        <v>61</v>
      </c>
      <c r="G5" s="6" t="s">
        <v>62</v>
      </c>
      <c r="H5" s="6" t="s">
        <v>63</v>
      </c>
      <c r="I5" s="6">
        <v>2000</v>
      </c>
      <c r="J5" s="17">
        <f>I5*'Block Details'!J5</f>
        <v>5079020</v>
      </c>
    </row>
    <row r="6" spans="1:10">
      <c r="A6" s="6">
        <v>3</v>
      </c>
      <c r="B6" s="6" t="s">
        <v>31</v>
      </c>
      <c r="C6" s="6" t="s">
        <v>64</v>
      </c>
      <c r="D6" s="6" t="s">
        <v>65</v>
      </c>
      <c r="E6" s="6" t="s">
        <v>65</v>
      </c>
      <c r="F6" s="6" t="s">
        <v>61</v>
      </c>
      <c r="G6" s="6" t="s">
        <v>66</v>
      </c>
      <c r="H6" s="6" t="s">
        <v>63</v>
      </c>
      <c r="I6" s="6">
        <v>2000</v>
      </c>
      <c r="J6" s="17">
        <f>I6*'Block Details'!K6</f>
        <v>6194240</v>
      </c>
    </row>
    <row r="7" spans="1:10">
      <c r="A7" s="6">
        <v>4</v>
      </c>
      <c r="B7" s="6" t="s">
        <v>33</v>
      </c>
      <c r="C7" s="6" t="s">
        <v>64</v>
      </c>
      <c r="D7" s="6" t="s">
        <v>65</v>
      </c>
      <c r="E7" s="6" t="s">
        <v>65</v>
      </c>
      <c r="F7" s="6" t="s">
        <v>67</v>
      </c>
      <c r="G7" s="6" t="s">
        <v>68</v>
      </c>
      <c r="H7" s="6" t="s">
        <v>24</v>
      </c>
      <c r="I7" s="15" t="s">
        <v>24</v>
      </c>
      <c r="J7" s="18" t="s">
        <v>24</v>
      </c>
    </row>
    <row r="8" spans="1:10">
      <c r="A8" s="6">
        <v>5</v>
      </c>
      <c r="B8" s="6" t="s">
        <v>38</v>
      </c>
      <c r="C8" s="6" t="s">
        <v>64</v>
      </c>
      <c r="D8" s="6" t="s">
        <v>69</v>
      </c>
      <c r="E8" s="6" t="s">
        <v>69</v>
      </c>
      <c r="F8" s="6" t="s">
        <v>61</v>
      </c>
      <c r="G8" s="6" t="s">
        <v>70</v>
      </c>
      <c r="H8" s="6" t="s">
        <v>63</v>
      </c>
      <c r="I8" s="6">
        <v>2000</v>
      </c>
      <c r="J8" s="17">
        <f>I8*'Block Details'!J8</f>
        <v>4599480</v>
      </c>
    </row>
    <row r="9" spans="1:10">
      <c r="A9" s="6">
        <v>6</v>
      </c>
      <c r="B9" s="6" t="s">
        <v>40</v>
      </c>
      <c r="C9" s="6" t="s">
        <v>71</v>
      </c>
      <c r="D9" s="6" t="s">
        <v>72</v>
      </c>
      <c r="E9" s="6" t="s">
        <v>73</v>
      </c>
      <c r="F9" s="6" t="s">
        <v>24</v>
      </c>
      <c r="G9" s="6" t="s">
        <v>74</v>
      </c>
      <c r="H9" s="6" t="s">
        <v>63</v>
      </c>
      <c r="I9" s="6">
        <v>2000</v>
      </c>
      <c r="J9" s="17">
        <f>I9*'Block Details'!J9</f>
        <v>18851680</v>
      </c>
    </row>
    <row r="10" spans="1:10">
      <c r="A10" s="6">
        <v>7</v>
      </c>
      <c r="B10" s="6" t="s">
        <v>45</v>
      </c>
      <c r="C10" s="6" t="s">
        <v>71</v>
      </c>
      <c r="D10" s="6" t="s">
        <v>72</v>
      </c>
      <c r="E10" s="6" t="s">
        <v>73</v>
      </c>
      <c r="F10" s="6" t="s">
        <v>24</v>
      </c>
      <c r="G10" s="6" t="s">
        <v>74</v>
      </c>
      <c r="H10" s="6" t="s">
        <v>63</v>
      </c>
      <c r="I10" s="6">
        <v>2000</v>
      </c>
      <c r="J10" s="17">
        <f>I10*'Block Details'!J10</f>
        <v>19662960</v>
      </c>
    </row>
    <row r="11" spans="1:10">
      <c r="A11" s="6">
        <v>8</v>
      </c>
      <c r="B11" s="6" t="s">
        <v>46</v>
      </c>
      <c r="C11" s="6" t="s">
        <v>71</v>
      </c>
      <c r="D11" s="6" t="s">
        <v>72</v>
      </c>
      <c r="E11" s="6" t="s">
        <v>73</v>
      </c>
      <c r="F11" s="6" t="s">
        <v>24</v>
      </c>
      <c r="G11" s="6" t="s">
        <v>74</v>
      </c>
      <c r="H11" s="6" t="s">
        <v>63</v>
      </c>
      <c r="I11" s="6">
        <v>2000</v>
      </c>
      <c r="J11" s="17">
        <f>I11*'Block Details'!J11</f>
        <v>18990320</v>
      </c>
    </row>
    <row r="12" spans="1:10">
      <c r="A12" s="6">
        <v>9</v>
      </c>
      <c r="B12" s="6" t="s">
        <v>49</v>
      </c>
      <c r="C12" s="6" t="s">
        <v>71</v>
      </c>
      <c r="D12" s="6" t="s">
        <v>72</v>
      </c>
      <c r="E12" s="6" t="s">
        <v>73</v>
      </c>
      <c r="F12" s="6" t="s">
        <v>24</v>
      </c>
      <c r="G12" s="6" t="s">
        <v>74</v>
      </c>
      <c r="H12" s="6" t="s">
        <v>63</v>
      </c>
      <c r="I12" s="6">
        <v>2000</v>
      </c>
      <c r="J12" s="17">
        <f>I12*'Block Details'!J12</f>
        <v>18446440</v>
      </c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4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4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4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4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4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4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4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4"/>
    </row>
    <row r="21" spans="1:10">
      <c r="A21" s="1"/>
      <c r="B21" s="1"/>
      <c r="C21" s="1"/>
      <c r="D21" s="1"/>
      <c r="E21" s="1"/>
      <c r="F21" s="1"/>
      <c r="G21" s="1"/>
      <c r="H21" s="1"/>
      <c r="I21" s="1"/>
    </row>
  </sheetData>
  <mergeCells count="10">
    <mergeCell ref="H2:H3"/>
    <mergeCell ref="I2:I3"/>
    <mergeCell ref="J2:J3"/>
    <mergeCell ref="A2:A3"/>
    <mergeCell ref="B2:B3"/>
    <mergeCell ref="C2:C3"/>
    <mergeCell ref="D2:D3"/>
    <mergeCell ref="F2:F3"/>
    <mergeCell ref="G2:G3"/>
    <mergeCell ref="E2:E3"/>
  </mergeCells>
  <phoneticPr fontId="3" type="noConversion"/>
  <dataValidations count="5">
    <dataValidation type="list" allowBlank="1" showInputMessage="1" showErrorMessage="1" sqref="C13:C20" xr:uid="{1540DC28-4A99-994D-B402-7AD37C7B42CF}">
      <formula1>"Central Govt., State Govt."</formula1>
    </dataValidation>
    <dataValidation type="list" allowBlank="1" showInputMessage="1" showErrorMessage="1" sqref="F13:F20" xr:uid="{697FC04B-1E82-EE42-A1A6-D5D854C34AC1}">
      <formula1>"Yes, No"</formula1>
    </dataValidation>
    <dataValidation type="list" allowBlank="1" showInputMessage="1" showErrorMessage="1" sqref="F4:F12" xr:uid="{3A0FF85A-3C28-3941-B537-41D3586DE3EE}">
      <formula1>"Yes, No, NA"</formula1>
    </dataValidation>
    <dataValidation type="list" allowBlank="1" showInputMessage="1" showErrorMessage="1" sqref="C4:C12" xr:uid="{362F2A93-E174-2C47-89DB-06E9F051CE0C}">
      <formula1>"Central Govt., State Govt., State/ Central"</formula1>
    </dataValidation>
    <dataValidation type="list" allowBlank="1" showInputMessage="1" showErrorMessage="1" sqref="H4:H12" xr:uid="{EEDF028F-003B-524B-988D-C2552798CD41}">
      <formula1>"1st, 2nd, 3rd, 4th, 5th, 6th, 7th, 8th, 9th, 10th, NA"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9C2D-7754-BF42-A0EC-07F2CD4FE3F1}">
  <dimension ref="A2:P28"/>
  <sheetViews>
    <sheetView zoomScale="120" zoomScaleNormal="120" workbookViewId="0">
      <selection activeCell="C29" sqref="C29"/>
    </sheetView>
  </sheetViews>
  <sheetFormatPr defaultColWidth="11" defaultRowHeight="15.95"/>
  <cols>
    <col min="2" max="2" width="19.625" customWidth="1"/>
    <col min="3" max="3" width="14.875" customWidth="1"/>
    <col min="4" max="4" width="15.875" customWidth="1"/>
    <col min="5" max="6" width="14.875" customWidth="1"/>
    <col min="7" max="11" width="14" customWidth="1"/>
    <col min="12" max="12" width="12.125" customWidth="1"/>
    <col min="13" max="13" width="15.5" customWidth="1"/>
    <col min="14" max="15" width="13.625" customWidth="1"/>
  </cols>
  <sheetData>
    <row r="2" spans="1:16" ht="15.95" customHeight="1">
      <c r="A2" s="23" t="s">
        <v>0</v>
      </c>
      <c r="B2" s="23" t="s">
        <v>1</v>
      </c>
      <c r="C2" s="29" t="s">
        <v>75</v>
      </c>
      <c r="D2" s="30"/>
      <c r="E2" s="31"/>
      <c r="F2" s="29" t="s">
        <v>76</v>
      </c>
      <c r="G2" s="30"/>
      <c r="H2" s="31"/>
      <c r="I2" s="29" t="s">
        <v>77</v>
      </c>
      <c r="J2" s="30"/>
      <c r="K2" s="31"/>
      <c r="L2" s="24" t="s">
        <v>78</v>
      </c>
      <c r="M2" s="24" t="s">
        <v>79</v>
      </c>
      <c r="N2" s="24" t="s">
        <v>80</v>
      </c>
      <c r="O2" s="24" t="s">
        <v>81</v>
      </c>
      <c r="P2" s="24" t="s">
        <v>82</v>
      </c>
    </row>
    <row r="3" spans="1:16" ht="17.100000000000001">
      <c r="A3" s="23"/>
      <c r="B3" s="23"/>
      <c r="C3" s="5" t="s">
        <v>83</v>
      </c>
      <c r="D3" s="5" t="s">
        <v>84</v>
      </c>
      <c r="E3" s="5" t="s">
        <v>85</v>
      </c>
      <c r="F3" s="5" t="s">
        <v>83</v>
      </c>
      <c r="G3" s="5" t="s">
        <v>84</v>
      </c>
      <c r="H3" s="5" t="s">
        <v>85</v>
      </c>
      <c r="I3" s="5" t="s">
        <v>83</v>
      </c>
      <c r="J3" s="5" t="s">
        <v>84</v>
      </c>
      <c r="K3" s="5" t="s">
        <v>85</v>
      </c>
      <c r="L3" s="24"/>
      <c r="M3" s="24"/>
      <c r="N3" s="24"/>
      <c r="O3" s="24"/>
      <c r="P3" s="24"/>
    </row>
    <row r="4" spans="1:16">
      <c r="A4" s="6">
        <v>1</v>
      </c>
      <c r="B4" s="6" t="s">
        <v>17</v>
      </c>
      <c r="C4" s="6">
        <v>200</v>
      </c>
      <c r="D4" s="6">
        <v>350</v>
      </c>
      <c r="E4" s="6">
        <v>5</v>
      </c>
      <c r="F4" s="6">
        <v>242</v>
      </c>
      <c r="G4" s="6">
        <v>350</v>
      </c>
      <c r="H4" s="6">
        <v>1</v>
      </c>
      <c r="I4" s="6">
        <v>0</v>
      </c>
      <c r="J4" s="6">
        <v>176</v>
      </c>
      <c r="K4" s="6">
        <v>0</v>
      </c>
      <c r="L4" s="6">
        <v>0</v>
      </c>
      <c r="M4" s="6"/>
      <c r="N4" s="6"/>
      <c r="O4" s="6"/>
      <c r="P4" s="9"/>
    </row>
    <row r="5" spans="1:16">
      <c r="A5" s="6">
        <v>2</v>
      </c>
      <c r="B5" s="6" t="s">
        <v>28</v>
      </c>
      <c r="C5" s="6">
        <v>500</v>
      </c>
      <c r="D5" s="6">
        <v>260</v>
      </c>
      <c r="E5" s="6">
        <v>3</v>
      </c>
      <c r="F5" s="6">
        <v>502.6</v>
      </c>
      <c r="G5" s="6">
        <v>314.5</v>
      </c>
      <c r="H5" s="6">
        <v>3</v>
      </c>
      <c r="I5" s="6">
        <v>0</v>
      </c>
      <c r="J5" s="6">
        <v>0</v>
      </c>
      <c r="K5" s="6">
        <v>0</v>
      </c>
      <c r="L5" s="6">
        <v>0</v>
      </c>
      <c r="M5" s="6"/>
      <c r="N5" s="6"/>
      <c r="O5" s="6"/>
      <c r="P5" s="9"/>
    </row>
    <row r="6" spans="1:16">
      <c r="A6" s="6">
        <v>3</v>
      </c>
      <c r="B6" s="6" t="s">
        <v>31</v>
      </c>
      <c r="C6" s="6">
        <v>0</v>
      </c>
      <c r="D6" s="6">
        <v>330</v>
      </c>
      <c r="E6" s="6">
        <v>3</v>
      </c>
      <c r="F6" s="6">
        <v>0</v>
      </c>
      <c r="G6" s="6">
        <v>345</v>
      </c>
      <c r="H6" s="6">
        <v>0</v>
      </c>
      <c r="I6" s="6">
        <v>0</v>
      </c>
      <c r="J6" s="6">
        <v>154</v>
      </c>
      <c r="K6" s="6">
        <v>0</v>
      </c>
      <c r="L6" s="6">
        <v>1</v>
      </c>
      <c r="M6" s="6" t="s">
        <v>86</v>
      </c>
      <c r="N6" s="6">
        <v>2000</v>
      </c>
      <c r="O6" s="6">
        <v>3393</v>
      </c>
      <c r="P6" s="9">
        <f>(N6/O6)</f>
        <v>0.58944886531093432</v>
      </c>
    </row>
    <row r="7" spans="1:16">
      <c r="A7" s="6">
        <v>4</v>
      </c>
      <c r="B7" s="6" t="s">
        <v>33</v>
      </c>
      <c r="C7" s="6">
        <v>0</v>
      </c>
      <c r="D7" s="6">
        <v>330</v>
      </c>
      <c r="E7" s="6">
        <v>3</v>
      </c>
      <c r="F7" s="6">
        <v>0</v>
      </c>
      <c r="G7" s="6">
        <v>330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/>
      <c r="N7" s="6"/>
      <c r="O7" s="6"/>
      <c r="P7" s="9"/>
    </row>
    <row r="8" spans="1:16">
      <c r="A8" s="6">
        <v>5</v>
      </c>
      <c r="B8" s="6" t="s">
        <v>38</v>
      </c>
      <c r="C8" s="6">
        <v>760</v>
      </c>
      <c r="D8" s="6">
        <v>400</v>
      </c>
      <c r="E8" s="6">
        <v>6</v>
      </c>
      <c r="F8" s="6">
        <v>760</v>
      </c>
      <c r="G8" s="6">
        <v>442</v>
      </c>
      <c r="H8" s="6">
        <v>3</v>
      </c>
      <c r="I8" s="6">
        <v>0</v>
      </c>
      <c r="J8" s="6">
        <v>0</v>
      </c>
      <c r="K8" s="6">
        <v>0</v>
      </c>
      <c r="L8" s="6">
        <v>0</v>
      </c>
      <c r="M8" s="6"/>
      <c r="N8" s="6"/>
      <c r="O8" s="6"/>
      <c r="P8" s="9"/>
    </row>
    <row r="9" spans="1:16">
      <c r="A9" s="6">
        <v>6</v>
      </c>
      <c r="B9" s="6" t="s">
        <v>40</v>
      </c>
      <c r="C9" s="6">
        <v>1101</v>
      </c>
      <c r="D9" s="6">
        <v>2000</v>
      </c>
      <c r="E9" s="6">
        <v>0</v>
      </c>
      <c r="F9" s="6">
        <v>1101.45</v>
      </c>
      <c r="G9" s="6">
        <v>2003.7</v>
      </c>
      <c r="H9" s="6">
        <v>0</v>
      </c>
      <c r="I9" s="6"/>
      <c r="J9" s="6"/>
      <c r="K9" s="6"/>
      <c r="L9" s="6"/>
      <c r="M9" s="6"/>
      <c r="N9" s="6"/>
      <c r="O9" s="6"/>
      <c r="P9" s="9"/>
    </row>
    <row r="10" spans="1:16">
      <c r="A10" s="6">
        <v>7</v>
      </c>
      <c r="B10" s="6" t="s">
        <v>45</v>
      </c>
      <c r="C10" s="6">
        <v>1000</v>
      </c>
      <c r="D10" s="6">
        <v>500</v>
      </c>
      <c r="E10" s="6">
        <v>0</v>
      </c>
      <c r="F10" s="6">
        <v>1000.85</v>
      </c>
      <c r="G10" s="6">
        <v>500.71</v>
      </c>
      <c r="H10" s="6">
        <v>0</v>
      </c>
      <c r="I10" s="6"/>
      <c r="J10" s="6"/>
      <c r="K10" s="6"/>
      <c r="L10" s="6"/>
      <c r="M10" s="6"/>
      <c r="N10" s="6"/>
      <c r="O10" s="6"/>
      <c r="P10" s="9"/>
    </row>
    <row r="11" spans="1:16">
      <c r="A11" s="6">
        <v>8</v>
      </c>
      <c r="B11" s="6" t="s">
        <v>46</v>
      </c>
      <c r="C11" s="6">
        <v>1000</v>
      </c>
      <c r="D11" s="6">
        <v>1200</v>
      </c>
      <c r="E11" s="6">
        <v>0</v>
      </c>
      <c r="F11" s="6">
        <v>1000.25</v>
      </c>
      <c r="G11" s="6">
        <v>1200</v>
      </c>
      <c r="H11" s="6">
        <v>0</v>
      </c>
      <c r="I11" s="6"/>
      <c r="J11" s="6"/>
      <c r="K11" s="6"/>
      <c r="L11" s="6"/>
      <c r="M11" s="6"/>
      <c r="N11" s="6"/>
      <c r="O11" s="6"/>
      <c r="P11" s="9"/>
    </row>
    <row r="12" spans="1:16">
      <c r="A12" s="6">
        <v>9</v>
      </c>
      <c r="B12" s="6" t="s">
        <v>49</v>
      </c>
      <c r="C12" s="6">
        <v>1101</v>
      </c>
      <c r="D12" s="6">
        <v>1600</v>
      </c>
      <c r="E12" s="6">
        <v>0</v>
      </c>
      <c r="F12" s="6">
        <v>1101.0999999999999</v>
      </c>
      <c r="G12" s="6">
        <v>1601.88</v>
      </c>
      <c r="H12" s="6">
        <v>0</v>
      </c>
      <c r="I12" s="6"/>
      <c r="J12" s="6"/>
      <c r="K12" s="6"/>
      <c r="L12" s="6"/>
      <c r="M12" s="6"/>
      <c r="N12" s="6"/>
      <c r="O12" s="6"/>
      <c r="P12" s="9"/>
    </row>
    <row r="13" spans="1:1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9"/>
    </row>
    <row r="14" spans="1:1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9"/>
    </row>
    <row r="15" spans="1:1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9"/>
    </row>
    <row r="16" spans="1: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9"/>
    </row>
    <row r="17" spans="1:1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9"/>
    </row>
    <row r="18" spans="1:1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9"/>
    </row>
    <row r="19" spans="1:1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9"/>
    </row>
    <row r="20" spans="1:1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9"/>
    </row>
    <row r="21" spans="1:16">
      <c r="A21" s="1"/>
      <c r="B21" s="1"/>
      <c r="C21" s="1"/>
      <c r="D21" s="1"/>
      <c r="E21" s="1"/>
      <c r="F21" s="1"/>
      <c r="G21" s="1"/>
    </row>
    <row r="26" spans="1:16">
      <c r="C26">
        <v>1101000</v>
      </c>
    </row>
    <row r="27" spans="1:16">
      <c r="C27">
        <v>2400000</v>
      </c>
    </row>
    <row r="28" spans="1:16">
      <c r="C28">
        <f>SUM(C26:C27)</f>
        <v>3501000</v>
      </c>
    </row>
  </sheetData>
  <mergeCells count="10">
    <mergeCell ref="C2:E2"/>
    <mergeCell ref="F2:H2"/>
    <mergeCell ref="L2:L3"/>
    <mergeCell ref="A2:A3"/>
    <mergeCell ref="B2:B3"/>
    <mergeCell ref="M2:M3"/>
    <mergeCell ref="N2:N3"/>
    <mergeCell ref="I2:K2"/>
    <mergeCell ref="O2:O3"/>
    <mergeCell ref="P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837A-3A2D-914B-9A5D-A5DE09D85905}">
  <dimension ref="A2:N21"/>
  <sheetViews>
    <sheetView zoomScale="120" zoomScaleNormal="120" workbookViewId="0">
      <selection activeCell="E8" sqref="E8"/>
    </sheetView>
  </sheetViews>
  <sheetFormatPr defaultColWidth="11" defaultRowHeight="15.95"/>
  <cols>
    <col min="2" max="2" width="19.625" customWidth="1"/>
    <col min="3" max="3" width="18.5" customWidth="1"/>
    <col min="4" max="4" width="26.5" bestFit="1" customWidth="1"/>
    <col min="5" max="5" width="24.625" bestFit="1" customWidth="1"/>
    <col min="6" max="6" width="22.125" customWidth="1"/>
    <col min="7" max="7" width="22.5" customWidth="1"/>
    <col min="8" max="8" width="15.625" customWidth="1"/>
    <col min="9" max="9" width="14.625" customWidth="1"/>
    <col min="10" max="10" width="16.5" customWidth="1"/>
    <col min="11" max="11" width="25" bestFit="1" customWidth="1"/>
    <col min="12" max="12" width="14" customWidth="1"/>
    <col min="13" max="13" width="15.625" customWidth="1"/>
    <col min="14" max="14" width="15.5" customWidth="1"/>
  </cols>
  <sheetData>
    <row r="2" spans="1:14" ht="15.95" customHeight="1">
      <c r="A2" s="23" t="s">
        <v>0</v>
      </c>
      <c r="B2" s="23" t="s">
        <v>1</v>
      </c>
      <c r="C2" s="24" t="s">
        <v>87</v>
      </c>
      <c r="D2" s="24" t="s">
        <v>88</v>
      </c>
      <c r="E2" s="24" t="s">
        <v>89</v>
      </c>
      <c r="F2" s="24" t="s">
        <v>90</v>
      </c>
      <c r="G2" s="24" t="s">
        <v>91</v>
      </c>
      <c r="H2" s="24" t="s">
        <v>92</v>
      </c>
      <c r="I2" s="23" t="s">
        <v>93</v>
      </c>
      <c r="J2" s="23"/>
      <c r="K2" s="23"/>
      <c r="L2" s="23" t="s">
        <v>94</v>
      </c>
      <c r="M2" s="23"/>
      <c r="N2" s="23"/>
    </row>
    <row r="3" spans="1:14" ht="35.1" customHeight="1">
      <c r="A3" s="23"/>
      <c r="B3" s="23"/>
      <c r="C3" s="24"/>
      <c r="D3" s="24"/>
      <c r="E3" s="24"/>
      <c r="F3" s="24"/>
      <c r="G3" s="24"/>
      <c r="H3" s="24"/>
      <c r="I3" s="8" t="s">
        <v>95</v>
      </c>
      <c r="J3" s="8" t="s">
        <v>96</v>
      </c>
      <c r="K3" s="8" t="s">
        <v>97</v>
      </c>
      <c r="L3" s="8" t="s">
        <v>98</v>
      </c>
      <c r="M3" s="8" t="s">
        <v>99</v>
      </c>
      <c r="N3" s="8" t="s">
        <v>100</v>
      </c>
    </row>
    <row r="4" spans="1:14" ht="68.099999999999994">
      <c r="A4" s="10">
        <v>1</v>
      </c>
      <c r="B4" s="10" t="s">
        <v>17</v>
      </c>
      <c r="C4" s="11">
        <v>2</v>
      </c>
      <c r="D4" s="11" t="s">
        <v>101</v>
      </c>
      <c r="E4" s="12" t="s">
        <v>102</v>
      </c>
      <c r="F4" s="12" t="s">
        <v>103</v>
      </c>
      <c r="G4" s="12" t="s">
        <v>104</v>
      </c>
      <c r="H4" s="12" t="s">
        <v>105</v>
      </c>
      <c r="I4" s="12" t="s">
        <v>106</v>
      </c>
      <c r="J4" s="12" t="s">
        <v>107</v>
      </c>
      <c r="K4" s="13" t="s">
        <v>108</v>
      </c>
      <c r="L4" s="12" t="s">
        <v>109</v>
      </c>
      <c r="M4" s="12" t="s">
        <v>110</v>
      </c>
      <c r="N4" s="12" t="s">
        <v>111</v>
      </c>
    </row>
    <row r="5" spans="1:14" ht="153">
      <c r="A5" s="10">
        <v>2</v>
      </c>
      <c r="B5" s="10" t="s">
        <v>28</v>
      </c>
      <c r="C5" s="11">
        <v>5</v>
      </c>
      <c r="D5" s="12" t="s">
        <v>112</v>
      </c>
      <c r="E5" s="12" t="s">
        <v>113</v>
      </c>
      <c r="F5" s="12" t="s">
        <v>114</v>
      </c>
      <c r="G5" s="12" t="s">
        <v>115</v>
      </c>
      <c r="H5" s="12" t="s">
        <v>116</v>
      </c>
      <c r="I5" s="12" t="s">
        <v>117</v>
      </c>
      <c r="J5" s="12" t="s">
        <v>118</v>
      </c>
      <c r="K5" s="4"/>
      <c r="L5" s="12" t="s">
        <v>119</v>
      </c>
      <c r="M5" s="12" t="s">
        <v>120</v>
      </c>
      <c r="N5" s="12" t="s">
        <v>121</v>
      </c>
    </row>
    <row r="6" spans="1:14" ht="68.099999999999994">
      <c r="A6" s="10">
        <v>3</v>
      </c>
      <c r="B6" s="10" t="s">
        <v>31</v>
      </c>
      <c r="C6" s="11">
        <v>2</v>
      </c>
      <c r="D6" s="11" t="s">
        <v>122</v>
      </c>
      <c r="E6" s="12" t="s">
        <v>123</v>
      </c>
      <c r="F6" s="12" t="s">
        <v>124</v>
      </c>
      <c r="G6" s="12" t="s">
        <v>125</v>
      </c>
      <c r="H6" s="12" t="s">
        <v>126</v>
      </c>
      <c r="I6" s="12" t="s">
        <v>127</v>
      </c>
      <c r="J6" s="12" t="s">
        <v>127</v>
      </c>
      <c r="K6" s="4"/>
      <c r="L6" s="12" t="s">
        <v>128</v>
      </c>
      <c r="M6" s="12" t="s">
        <v>129</v>
      </c>
      <c r="N6" s="12" t="s">
        <v>130</v>
      </c>
    </row>
    <row r="7" spans="1:14">
      <c r="A7" s="10">
        <v>4</v>
      </c>
      <c r="B7" s="10" t="s">
        <v>33</v>
      </c>
      <c r="C7" s="11">
        <v>0</v>
      </c>
      <c r="D7" s="11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02">
      <c r="A8" s="10">
        <v>5</v>
      </c>
      <c r="B8" s="10" t="s">
        <v>38</v>
      </c>
      <c r="C8" s="11">
        <v>3</v>
      </c>
      <c r="D8" s="12" t="s">
        <v>131</v>
      </c>
      <c r="E8" s="12" t="s">
        <v>132</v>
      </c>
      <c r="F8" s="12" t="s">
        <v>133</v>
      </c>
      <c r="G8" s="12" t="s">
        <v>134</v>
      </c>
      <c r="H8" s="12" t="s">
        <v>135</v>
      </c>
      <c r="I8" s="12" t="s">
        <v>136</v>
      </c>
      <c r="J8" s="12" t="s">
        <v>137</v>
      </c>
      <c r="K8" s="13" t="s">
        <v>138</v>
      </c>
      <c r="L8" s="12"/>
      <c r="M8" s="4"/>
      <c r="N8" s="4"/>
    </row>
    <row r="9" spans="1:14">
      <c r="A9" s="10">
        <v>6</v>
      </c>
      <c r="B9" s="6" t="s">
        <v>40</v>
      </c>
      <c r="C9" s="4">
        <v>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10">
        <v>7</v>
      </c>
      <c r="B10" s="6" t="s">
        <v>45</v>
      </c>
      <c r="C10" s="4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10">
        <v>8</v>
      </c>
      <c r="B11" s="6" t="s">
        <v>46</v>
      </c>
      <c r="C11" s="4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10">
        <v>9</v>
      </c>
      <c r="B12" s="6" t="s">
        <v>49</v>
      </c>
      <c r="C12" s="4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6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6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6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6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6"/>
      <c r="B17" s="6"/>
      <c r="C17" s="4"/>
      <c r="D17" s="4"/>
      <c r="E17" s="4"/>
      <c r="F17" s="4"/>
      <c r="G17" s="4"/>
      <c r="H17" s="4"/>
      <c r="I17" s="4"/>
      <c r="J17" s="4"/>
      <c r="L17" s="4"/>
      <c r="M17" s="4"/>
      <c r="N17" s="4"/>
    </row>
    <row r="18" spans="1:14">
      <c r="A18" s="6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6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6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1"/>
      <c r="B21" s="1"/>
    </row>
  </sheetData>
  <mergeCells count="10">
    <mergeCell ref="G2:G3"/>
    <mergeCell ref="H2:H3"/>
    <mergeCell ref="I2:K2"/>
    <mergeCell ref="L2:N2"/>
    <mergeCell ref="A2:A3"/>
    <mergeCell ref="B2:B3"/>
    <mergeCell ref="C2:C3"/>
    <mergeCell ref="D2:D3"/>
    <mergeCell ref="E2:E3"/>
    <mergeCell ref="F2:F3"/>
  </mergeCells>
  <dataValidations count="1">
    <dataValidation type="list" allowBlank="1" showInputMessage="1" showErrorMessage="1" sqref="H7 H9:H20 L7" xr:uid="{DBD7256B-A6F3-0D4F-AF73-BA2C03ECF6C7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01C2-8DF9-1D42-A9BC-0EA8DF806993}">
  <dimension ref="A2:R21"/>
  <sheetViews>
    <sheetView zoomScale="120" zoomScaleNormal="120" workbookViewId="0">
      <selection activeCell="H19" sqref="H19"/>
    </sheetView>
  </sheetViews>
  <sheetFormatPr defaultColWidth="11" defaultRowHeight="15.95"/>
  <cols>
    <col min="2" max="2" width="19.625" customWidth="1"/>
    <col min="3" max="3" width="11.125" customWidth="1"/>
    <col min="4" max="4" width="16" customWidth="1"/>
    <col min="5" max="7" width="12.125" customWidth="1"/>
    <col min="8" max="8" width="15" customWidth="1"/>
    <col min="9" max="9" width="14" customWidth="1"/>
    <col min="10" max="10" width="12.625" customWidth="1"/>
    <col min="11" max="11" width="14.875" customWidth="1"/>
    <col min="12" max="12" width="25.375" customWidth="1"/>
    <col min="13" max="13" width="17.625" customWidth="1"/>
    <col min="14" max="14" width="16.875" customWidth="1"/>
    <col min="15" max="15" width="13.125" bestFit="1" customWidth="1"/>
    <col min="16" max="16" width="23.125" bestFit="1" customWidth="1"/>
    <col min="17" max="17" width="17.875" bestFit="1" customWidth="1"/>
    <col min="18" max="18" width="17.625" bestFit="1" customWidth="1"/>
  </cols>
  <sheetData>
    <row r="2" spans="1:18" ht="15.95" customHeight="1">
      <c r="A2" s="23" t="s">
        <v>0</v>
      </c>
      <c r="B2" s="23" t="s">
        <v>1</v>
      </c>
      <c r="C2" s="27" t="s">
        <v>139</v>
      </c>
      <c r="D2" s="24" t="s">
        <v>140</v>
      </c>
      <c r="E2" s="23" t="s">
        <v>141</v>
      </c>
      <c r="F2" s="23"/>
      <c r="G2" s="23"/>
      <c r="H2" s="23"/>
      <c r="I2" s="24" t="s">
        <v>142</v>
      </c>
      <c r="J2" s="23" t="s">
        <v>143</v>
      </c>
      <c r="K2" s="23"/>
      <c r="L2" s="23"/>
      <c r="M2" s="23"/>
      <c r="N2" s="23"/>
      <c r="O2" s="23" t="s">
        <v>144</v>
      </c>
      <c r="P2" s="23"/>
      <c r="Q2" s="23"/>
      <c r="R2" s="23"/>
    </row>
    <row r="3" spans="1:18" ht="48.95" customHeight="1">
      <c r="A3" s="23"/>
      <c r="B3" s="23"/>
      <c r="C3" s="28"/>
      <c r="D3" s="24"/>
      <c r="E3" s="5" t="s">
        <v>145</v>
      </c>
      <c r="F3" s="5" t="s">
        <v>146</v>
      </c>
      <c r="G3" s="5" t="s">
        <v>147</v>
      </c>
      <c r="H3" s="5" t="s">
        <v>146</v>
      </c>
      <c r="I3" s="24"/>
      <c r="J3" s="2" t="s">
        <v>148</v>
      </c>
      <c r="K3" s="5" t="s">
        <v>149</v>
      </c>
      <c r="L3" s="2" t="s">
        <v>150</v>
      </c>
      <c r="M3" s="5" t="s">
        <v>151</v>
      </c>
      <c r="N3" s="5" t="s">
        <v>152</v>
      </c>
      <c r="O3" s="2" t="s">
        <v>153</v>
      </c>
      <c r="P3" s="2" t="s">
        <v>154</v>
      </c>
      <c r="Q3" s="2" t="s">
        <v>150</v>
      </c>
      <c r="R3" s="5" t="s">
        <v>155</v>
      </c>
    </row>
    <row r="4" spans="1:18" ht="51">
      <c r="A4" s="6">
        <v>1</v>
      </c>
      <c r="B4" s="6" t="s">
        <v>17</v>
      </c>
      <c r="C4" s="6" t="s">
        <v>19</v>
      </c>
      <c r="D4" s="6" t="s">
        <v>156</v>
      </c>
      <c r="E4" s="6" t="s">
        <v>157</v>
      </c>
      <c r="F4" s="6" t="s">
        <v>158</v>
      </c>
      <c r="G4" s="6" t="s">
        <v>157</v>
      </c>
      <c r="H4" s="6" t="s">
        <v>158</v>
      </c>
      <c r="I4" s="6" t="s">
        <v>159</v>
      </c>
      <c r="J4" s="6" t="s">
        <v>60</v>
      </c>
      <c r="K4" s="6" t="s">
        <v>160</v>
      </c>
      <c r="L4" s="14" t="s">
        <v>161</v>
      </c>
      <c r="M4" s="6" t="s">
        <v>162</v>
      </c>
      <c r="N4" s="14" t="s">
        <v>163</v>
      </c>
      <c r="O4" s="4"/>
      <c r="P4" s="4"/>
      <c r="Q4" s="4"/>
      <c r="R4" s="4"/>
    </row>
    <row r="5" spans="1:18" ht="51">
      <c r="A5" s="6">
        <v>2</v>
      </c>
      <c r="B5" s="6" t="s">
        <v>28</v>
      </c>
      <c r="C5" s="6" t="s">
        <v>19</v>
      </c>
      <c r="D5" s="6" t="s">
        <v>156</v>
      </c>
      <c r="E5" s="6" t="s">
        <v>157</v>
      </c>
      <c r="F5" s="6" t="s">
        <v>158</v>
      </c>
      <c r="G5" s="6" t="s">
        <v>157</v>
      </c>
      <c r="H5" s="6" t="s">
        <v>158</v>
      </c>
      <c r="I5" s="6" t="s">
        <v>159</v>
      </c>
      <c r="J5" s="6" t="s">
        <v>60</v>
      </c>
      <c r="K5" s="6" t="s">
        <v>160</v>
      </c>
      <c r="L5" s="14" t="s">
        <v>161</v>
      </c>
      <c r="M5" s="6" t="s">
        <v>162</v>
      </c>
      <c r="N5" s="14" t="s">
        <v>164</v>
      </c>
      <c r="O5" s="4"/>
      <c r="P5" s="4"/>
      <c r="Q5" s="4"/>
      <c r="R5" s="4"/>
    </row>
    <row r="6" spans="1:18" ht="33.950000000000003">
      <c r="A6" s="6">
        <v>3</v>
      </c>
      <c r="B6" s="6" t="s">
        <v>31</v>
      </c>
      <c r="C6" s="6" t="s">
        <v>19</v>
      </c>
      <c r="D6" s="6" t="s">
        <v>156</v>
      </c>
      <c r="E6" s="6" t="s">
        <v>157</v>
      </c>
      <c r="F6" s="6" t="s">
        <v>158</v>
      </c>
      <c r="G6" s="6" t="s">
        <v>157</v>
      </c>
      <c r="H6" s="6" t="s">
        <v>158</v>
      </c>
      <c r="I6" s="6" t="s">
        <v>159</v>
      </c>
      <c r="J6" s="6" t="s">
        <v>65</v>
      </c>
      <c r="K6" s="6" t="s">
        <v>165</v>
      </c>
      <c r="L6" s="14" t="s">
        <v>166</v>
      </c>
      <c r="M6" s="6" t="s">
        <v>68</v>
      </c>
      <c r="N6" s="14" t="s">
        <v>163</v>
      </c>
      <c r="O6" s="4"/>
      <c r="P6" s="4"/>
      <c r="Q6" s="4"/>
      <c r="R6" s="4"/>
    </row>
    <row r="7" spans="1:18" ht="17.100000000000001">
      <c r="A7" s="6">
        <v>4</v>
      </c>
      <c r="B7" s="6" t="s">
        <v>33</v>
      </c>
      <c r="C7" s="6" t="s">
        <v>34</v>
      </c>
      <c r="D7" s="6" t="s">
        <v>156</v>
      </c>
      <c r="E7" s="6" t="s">
        <v>157</v>
      </c>
      <c r="F7" s="6" t="s">
        <v>158</v>
      </c>
      <c r="G7" s="6" t="s">
        <v>157</v>
      </c>
      <c r="H7" s="6" t="s">
        <v>158</v>
      </c>
      <c r="I7" s="6" t="s">
        <v>36</v>
      </c>
      <c r="J7" s="6" t="s">
        <v>65</v>
      </c>
      <c r="K7" s="6" t="s">
        <v>165</v>
      </c>
      <c r="L7" s="14" t="s">
        <v>166</v>
      </c>
      <c r="M7" s="6" t="s">
        <v>68</v>
      </c>
      <c r="N7" s="4"/>
      <c r="O7" s="4"/>
      <c r="P7" s="4"/>
      <c r="Q7" s="4"/>
      <c r="R7" s="4"/>
    </row>
    <row r="8" spans="1:18" ht="51">
      <c r="A8" s="6">
        <v>5</v>
      </c>
      <c r="B8" s="6" t="s">
        <v>38</v>
      </c>
      <c r="C8" s="6" t="s">
        <v>34</v>
      </c>
      <c r="D8" s="6" t="s">
        <v>156</v>
      </c>
      <c r="E8" s="6" t="s">
        <v>157</v>
      </c>
      <c r="F8" s="6" t="s">
        <v>158</v>
      </c>
      <c r="G8" s="6" t="s">
        <v>157</v>
      </c>
      <c r="H8" s="6" t="s">
        <v>158</v>
      </c>
      <c r="I8" s="6" t="s">
        <v>159</v>
      </c>
      <c r="J8" s="6" t="s">
        <v>69</v>
      </c>
      <c r="K8" s="6" t="s">
        <v>167</v>
      </c>
      <c r="L8" s="14" t="s">
        <v>168</v>
      </c>
      <c r="M8" s="6" t="s">
        <v>162</v>
      </c>
      <c r="N8" s="14" t="s">
        <v>163</v>
      </c>
      <c r="O8" s="4"/>
      <c r="P8" s="4"/>
      <c r="Q8" s="4"/>
      <c r="R8" s="4"/>
    </row>
    <row r="9" spans="1:18">
      <c r="A9" s="6">
        <v>6</v>
      </c>
      <c r="B9" s="6" t="s">
        <v>40</v>
      </c>
      <c r="C9" s="6" t="s">
        <v>41</v>
      </c>
      <c r="D9" s="6" t="s">
        <v>169</v>
      </c>
      <c r="E9" s="6" t="s">
        <v>157</v>
      </c>
      <c r="F9" s="6" t="s">
        <v>170</v>
      </c>
      <c r="G9" s="6" t="s">
        <v>171</v>
      </c>
      <c r="H9" s="19">
        <v>0</v>
      </c>
      <c r="I9" s="6" t="s">
        <v>172</v>
      </c>
      <c r="J9" s="6" t="s">
        <v>73</v>
      </c>
      <c r="K9" s="6" t="s">
        <v>173</v>
      </c>
      <c r="L9" s="4"/>
      <c r="M9" s="6" t="s">
        <v>173</v>
      </c>
      <c r="N9" s="6" t="s">
        <v>24</v>
      </c>
      <c r="O9" s="4"/>
      <c r="P9" s="4"/>
      <c r="Q9" s="4"/>
      <c r="R9" s="4"/>
    </row>
    <row r="10" spans="1:18">
      <c r="A10" s="6">
        <v>7</v>
      </c>
      <c r="B10" s="6" t="s">
        <v>45</v>
      </c>
      <c r="C10" s="6" t="s">
        <v>41</v>
      </c>
      <c r="D10" s="6" t="s">
        <v>169</v>
      </c>
      <c r="E10" s="6" t="s">
        <v>157</v>
      </c>
      <c r="F10" s="6" t="s">
        <v>170</v>
      </c>
      <c r="G10" s="6" t="s">
        <v>171</v>
      </c>
      <c r="H10" s="19">
        <v>0</v>
      </c>
      <c r="I10" s="6" t="s">
        <v>172</v>
      </c>
      <c r="J10" s="6" t="s">
        <v>73</v>
      </c>
      <c r="K10" s="6" t="s">
        <v>173</v>
      </c>
      <c r="L10" s="4"/>
      <c r="M10" s="6" t="s">
        <v>173</v>
      </c>
      <c r="N10" s="6" t="s">
        <v>24</v>
      </c>
      <c r="O10" s="4"/>
      <c r="P10" s="4"/>
      <c r="Q10" s="4"/>
      <c r="R10" s="4"/>
    </row>
    <row r="11" spans="1:18">
      <c r="A11" s="6">
        <v>8</v>
      </c>
      <c r="B11" s="6" t="s">
        <v>46</v>
      </c>
      <c r="C11" s="6" t="s">
        <v>41</v>
      </c>
      <c r="D11" s="6" t="s">
        <v>174</v>
      </c>
      <c r="E11" s="6" t="s">
        <v>171</v>
      </c>
      <c r="F11" s="6" t="s">
        <v>170</v>
      </c>
      <c r="G11" s="6" t="s">
        <v>24</v>
      </c>
      <c r="H11" s="6" t="s">
        <v>24</v>
      </c>
      <c r="I11" s="6" t="s">
        <v>175</v>
      </c>
      <c r="J11" s="6" t="s">
        <v>73</v>
      </c>
      <c r="K11" s="6" t="s">
        <v>176</v>
      </c>
      <c r="L11" s="4"/>
      <c r="M11" s="6" t="s">
        <v>176</v>
      </c>
      <c r="N11" s="6" t="s">
        <v>24</v>
      </c>
      <c r="O11" s="4"/>
      <c r="P11" s="4"/>
      <c r="Q11" s="4"/>
      <c r="R11" s="4"/>
    </row>
    <row r="12" spans="1:18">
      <c r="A12" s="6">
        <v>9</v>
      </c>
      <c r="B12" s="6" t="s">
        <v>49</v>
      </c>
      <c r="C12" s="6" t="s">
        <v>41</v>
      </c>
      <c r="D12" s="6" t="s">
        <v>174</v>
      </c>
      <c r="E12" s="6" t="s">
        <v>171</v>
      </c>
      <c r="F12" s="6" t="s">
        <v>170</v>
      </c>
      <c r="G12" s="6" t="s">
        <v>24</v>
      </c>
      <c r="H12" s="6" t="s">
        <v>24</v>
      </c>
      <c r="I12" s="6" t="s">
        <v>175</v>
      </c>
      <c r="J12" s="6" t="s">
        <v>73</v>
      </c>
      <c r="K12" s="6" t="s">
        <v>176</v>
      </c>
      <c r="L12" s="4"/>
      <c r="M12" s="6" t="s">
        <v>176</v>
      </c>
      <c r="N12" s="6" t="s">
        <v>24</v>
      </c>
      <c r="O12" s="4"/>
      <c r="P12" s="4"/>
      <c r="Q12" s="4"/>
      <c r="R12" s="4"/>
    </row>
    <row r="13" spans="1:18">
      <c r="A13" s="6"/>
      <c r="B13" s="6"/>
      <c r="C13" s="6"/>
      <c r="D13" s="6"/>
      <c r="E13" s="6"/>
      <c r="F13" s="6"/>
      <c r="G13" s="6"/>
      <c r="H13" s="6"/>
      <c r="I13" s="6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6"/>
      <c r="B14" s="6"/>
      <c r="C14" s="6"/>
      <c r="D14" s="6"/>
      <c r="E14" s="6"/>
      <c r="F14" s="6"/>
      <c r="G14" s="6"/>
      <c r="H14" s="6"/>
      <c r="I14" s="6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6"/>
      <c r="B15" s="6"/>
      <c r="C15" s="6"/>
      <c r="D15" s="6"/>
      <c r="E15" s="6"/>
      <c r="F15" s="6"/>
      <c r="G15" s="6"/>
      <c r="H15" s="6"/>
      <c r="I15" s="6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6"/>
      <c r="B16" s="6"/>
      <c r="C16" s="6"/>
      <c r="D16" s="6"/>
      <c r="E16" s="6"/>
      <c r="F16" s="6"/>
      <c r="G16" s="6"/>
      <c r="H16" s="6"/>
      <c r="I16" s="6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6"/>
      <c r="B17" s="6"/>
      <c r="C17" s="6"/>
      <c r="D17" s="6"/>
      <c r="E17" s="6"/>
      <c r="F17" s="6"/>
      <c r="G17" s="6"/>
      <c r="H17" s="6"/>
      <c r="I17" s="6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6"/>
      <c r="B18" s="6"/>
      <c r="C18" s="6"/>
      <c r="D18" s="6"/>
      <c r="E18" s="6"/>
      <c r="F18" s="6"/>
      <c r="G18" s="6"/>
      <c r="H18" s="6"/>
      <c r="I18" s="6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6"/>
      <c r="B19" s="6"/>
      <c r="C19" s="6"/>
      <c r="D19" s="6"/>
      <c r="E19" s="6"/>
      <c r="F19" s="6"/>
      <c r="G19" s="6"/>
      <c r="H19" s="6"/>
      <c r="I19" s="6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6"/>
      <c r="B20" s="6"/>
      <c r="C20" s="6"/>
      <c r="D20" s="6"/>
      <c r="E20" s="6"/>
      <c r="F20" s="6"/>
      <c r="G20" s="6"/>
      <c r="H20" s="6"/>
      <c r="I20" s="6"/>
      <c r="J20" s="4"/>
      <c r="K20" s="4"/>
      <c r="L20" s="4"/>
      <c r="M20" s="4"/>
      <c r="N20" s="4"/>
      <c r="O20" s="4"/>
      <c r="P20" s="4"/>
      <c r="Q20" s="4"/>
      <c r="R20" s="4"/>
    </row>
    <row r="21" spans="1:18">
      <c r="A21" s="1"/>
      <c r="B21" s="1"/>
      <c r="C21" s="1"/>
    </row>
  </sheetData>
  <mergeCells count="8">
    <mergeCell ref="A2:A3"/>
    <mergeCell ref="B2:B3"/>
    <mergeCell ref="C2:C3"/>
    <mergeCell ref="O2:R2"/>
    <mergeCell ref="D2:D3"/>
    <mergeCell ref="E2:H2"/>
    <mergeCell ref="I2:I3"/>
    <mergeCell ref="J2:N2"/>
  </mergeCells>
  <dataValidations count="5">
    <dataValidation type="list" allowBlank="1" showInputMessage="1" showErrorMessage="1" sqref="D13:D20" xr:uid="{BBAA500D-6EDF-F14C-BCBE-1F9132C2495E}">
      <formula1>"Single Phase, IEP+SEP"</formula1>
    </dataValidation>
    <dataValidation type="list" allowBlank="1" showInputMessage="1" showErrorMessage="1" sqref="I13:I20" xr:uid="{F27E764E-BB79-D640-8D06-92D8109FE5D3}">
      <formula1>"IEP, SEP"</formula1>
    </dataValidation>
    <dataValidation type="list" allowBlank="1" showInputMessage="1" showErrorMessage="1" sqref="C4:C12" xr:uid="{51C6F1CE-9343-6C48-B99A-93AC051A5E0D}">
      <formula1>"I, II, III, IV, V, VI, VII, VIII, IX, X, XI"</formula1>
    </dataValidation>
    <dataValidation type="list" allowBlank="1" showInputMessage="1" showErrorMessage="1" sqref="D4:D12" xr:uid="{AEA88BDF-05B6-D643-B2A1-B44B104E9023}">
      <formula1>"Single Phase, IEP+SEP, Phase-I + Phase-II"</formula1>
    </dataValidation>
    <dataValidation type="list" allowBlank="1" showInputMessage="1" showErrorMessage="1" sqref="I4:I12" xr:uid="{06326BD9-9561-1E4F-9878-BF432994D77D}">
      <formula1>"IEP, SEP, Phase-I, Phase-II, EP, Relinquished"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6D3F-04A2-474C-9E4B-69DDD9D75EDF}">
  <dimension ref="A2:H21"/>
  <sheetViews>
    <sheetView zoomScale="120" zoomScaleNormal="120" workbookViewId="0">
      <selection activeCell="B9" sqref="B9:B12"/>
    </sheetView>
  </sheetViews>
  <sheetFormatPr defaultColWidth="11" defaultRowHeight="15.95"/>
  <cols>
    <col min="2" max="2" width="19.625" customWidth="1"/>
    <col min="3" max="3" width="14" customWidth="1"/>
    <col min="4" max="4" width="16.125" customWidth="1"/>
    <col min="5" max="5" width="15.625" customWidth="1"/>
    <col min="6" max="6" width="17.125" customWidth="1"/>
    <col min="7" max="7" width="14.625" customWidth="1"/>
    <col min="8" max="8" width="19" customWidth="1"/>
  </cols>
  <sheetData>
    <row r="2" spans="1:8" ht="15.95" customHeight="1">
      <c r="A2" s="23" t="s">
        <v>0</v>
      </c>
      <c r="B2" s="23" t="s">
        <v>1</v>
      </c>
      <c r="C2" s="24" t="s">
        <v>142</v>
      </c>
      <c r="D2" s="24" t="s">
        <v>177</v>
      </c>
      <c r="E2" s="24" t="s">
        <v>178</v>
      </c>
      <c r="F2" s="24" t="s">
        <v>179</v>
      </c>
      <c r="G2" s="24" t="s">
        <v>180</v>
      </c>
      <c r="H2" s="24" t="s">
        <v>181</v>
      </c>
    </row>
    <row r="3" spans="1:8">
      <c r="A3" s="23"/>
      <c r="B3" s="23"/>
      <c r="C3" s="24"/>
      <c r="D3" s="24"/>
      <c r="E3" s="24"/>
      <c r="F3" s="24"/>
      <c r="G3" s="24"/>
      <c r="H3" s="24"/>
    </row>
    <row r="4" spans="1:8">
      <c r="A4" s="6">
        <v>1</v>
      </c>
      <c r="B4" s="6" t="s">
        <v>17</v>
      </c>
      <c r="C4" s="6" t="s">
        <v>159</v>
      </c>
      <c r="D4" s="17">
        <v>8500000</v>
      </c>
      <c r="E4" s="17">
        <v>807245850</v>
      </c>
      <c r="F4" s="15" t="s">
        <v>182</v>
      </c>
      <c r="G4" s="15" t="s">
        <v>183</v>
      </c>
      <c r="H4" s="6" t="s">
        <v>184</v>
      </c>
    </row>
    <row r="5" spans="1:8">
      <c r="A5" s="6">
        <v>2</v>
      </c>
      <c r="B5" s="6" t="s">
        <v>28</v>
      </c>
      <c r="C5" s="6" t="s">
        <v>159</v>
      </c>
      <c r="D5" s="17">
        <v>5750000</v>
      </c>
      <c r="E5" s="17">
        <v>546078075</v>
      </c>
      <c r="F5" s="15" t="s">
        <v>182</v>
      </c>
      <c r="G5" s="15" t="s">
        <v>183</v>
      </c>
      <c r="H5" s="6" t="s">
        <v>184</v>
      </c>
    </row>
    <row r="6" spans="1:8">
      <c r="A6" s="6">
        <v>3</v>
      </c>
      <c r="B6" s="6" t="s">
        <v>31</v>
      </c>
      <c r="C6" s="6" t="s">
        <v>159</v>
      </c>
      <c r="D6" s="17">
        <v>5750000</v>
      </c>
      <c r="E6" s="17">
        <v>546078075</v>
      </c>
      <c r="F6" s="15" t="s">
        <v>66</v>
      </c>
      <c r="G6" s="15" t="s">
        <v>185</v>
      </c>
      <c r="H6" s="6" t="s">
        <v>184</v>
      </c>
    </row>
    <row r="7" spans="1:8">
      <c r="A7" s="6">
        <v>4</v>
      </c>
      <c r="B7" s="6" t="s">
        <v>33</v>
      </c>
      <c r="C7" s="6" t="s">
        <v>36</v>
      </c>
      <c r="D7" s="16"/>
      <c r="E7" s="16"/>
      <c r="F7" s="15"/>
      <c r="G7" s="15"/>
      <c r="H7" s="4"/>
    </row>
    <row r="8" spans="1:8">
      <c r="A8" s="6">
        <v>5</v>
      </c>
      <c r="B8" s="6" t="s">
        <v>38</v>
      </c>
      <c r="C8" s="6" t="s">
        <v>159</v>
      </c>
      <c r="D8" s="17">
        <v>10400000</v>
      </c>
      <c r="E8" s="17">
        <v>987689040</v>
      </c>
      <c r="F8" s="15" t="s">
        <v>182</v>
      </c>
      <c r="G8" s="15" t="s">
        <v>183</v>
      </c>
      <c r="H8" s="6" t="s">
        <v>184</v>
      </c>
    </row>
    <row r="9" spans="1:8">
      <c r="A9" s="6">
        <v>6</v>
      </c>
      <c r="B9" s="6" t="s">
        <v>40</v>
      </c>
      <c r="C9" s="6" t="s">
        <v>172</v>
      </c>
      <c r="D9" s="17">
        <v>4101000</v>
      </c>
      <c r="E9" s="17">
        <v>346827722</v>
      </c>
      <c r="F9" s="15" t="s">
        <v>186</v>
      </c>
      <c r="G9" s="15" t="s">
        <v>187</v>
      </c>
      <c r="H9" s="6" t="s">
        <v>184</v>
      </c>
    </row>
    <row r="10" spans="1:8">
      <c r="A10" s="6">
        <v>7</v>
      </c>
      <c r="B10" s="6" t="s">
        <v>45</v>
      </c>
      <c r="C10" s="6" t="s">
        <v>172</v>
      </c>
      <c r="D10" s="17">
        <v>1750000</v>
      </c>
      <c r="E10" s="17">
        <v>148000125</v>
      </c>
      <c r="F10" s="15" t="s">
        <v>186</v>
      </c>
      <c r="G10" s="15" t="s">
        <v>187</v>
      </c>
      <c r="H10" s="6" t="s">
        <v>184</v>
      </c>
    </row>
    <row r="11" spans="1:8">
      <c r="A11" s="6">
        <v>8</v>
      </c>
      <c r="B11" s="6" t="s">
        <v>46</v>
      </c>
      <c r="C11" s="6" t="s">
        <v>175</v>
      </c>
      <c r="D11" s="17">
        <v>2800000</v>
      </c>
      <c r="E11" s="17">
        <v>236800200</v>
      </c>
      <c r="F11" s="15" t="s">
        <v>188</v>
      </c>
      <c r="G11" s="15" t="s">
        <v>189</v>
      </c>
      <c r="H11" s="6" t="s">
        <v>184</v>
      </c>
    </row>
    <row r="12" spans="1:8">
      <c r="A12" s="6">
        <v>9</v>
      </c>
      <c r="B12" s="6" t="s">
        <v>49</v>
      </c>
      <c r="C12" s="6" t="s">
        <v>175</v>
      </c>
      <c r="D12" s="17">
        <v>3501000</v>
      </c>
      <c r="E12" s="17">
        <v>296084822</v>
      </c>
      <c r="F12" s="15" t="s">
        <v>188</v>
      </c>
      <c r="G12" s="15" t="s">
        <v>189</v>
      </c>
      <c r="H12" s="6" t="s">
        <v>184</v>
      </c>
    </row>
    <row r="13" spans="1:8">
      <c r="A13" s="6"/>
      <c r="B13" s="6"/>
      <c r="C13" s="6"/>
      <c r="D13" s="4"/>
      <c r="E13" s="16"/>
      <c r="F13" s="15"/>
      <c r="G13" s="4"/>
      <c r="H13" s="4"/>
    </row>
    <row r="14" spans="1:8">
      <c r="A14" s="6"/>
      <c r="B14" s="6"/>
      <c r="C14" s="6"/>
      <c r="D14" s="4"/>
      <c r="E14" s="16"/>
      <c r="F14" s="15"/>
      <c r="G14" s="4"/>
      <c r="H14" s="4"/>
    </row>
    <row r="15" spans="1:8">
      <c r="A15" s="6"/>
      <c r="B15" s="6"/>
      <c r="C15" s="6"/>
      <c r="D15" s="4"/>
      <c r="E15" s="16"/>
      <c r="F15" s="15"/>
      <c r="G15" s="4"/>
      <c r="H15" s="4"/>
    </row>
    <row r="16" spans="1:8">
      <c r="A16" s="6"/>
      <c r="B16" s="6"/>
      <c r="C16" s="6"/>
      <c r="D16" s="4"/>
      <c r="E16" s="16"/>
      <c r="F16" s="15"/>
      <c r="G16" s="4"/>
      <c r="H16" s="4"/>
    </row>
    <row r="17" spans="1:8">
      <c r="A17" s="6"/>
      <c r="B17" s="6"/>
      <c r="C17" s="6"/>
      <c r="D17" s="4"/>
      <c r="E17" s="16"/>
      <c r="F17" s="15"/>
      <c r="G17" s="4"/>
      <c r="H17" s="4"/>
    </row>
    <row r="18" spans="1:8">
      <c r="A18" s="6"/>
      <c r="B18" s="6"/>
      <c r="C18" s="6"/>
      <c r="D18" s="4"/>
      <c r="E18" s="16"/>
      <c r="F18" s="15"/>
      <c r="G18" s="4"/>
      <c r="H18" s="4"/>
    </row>
    <row r="19" spans="1:8">
      <c r="A19" s="6"/>
      <c r="B19" s="6"/>
      <c r="C19" s="6"/>
      <c r="D19" s="4"/>
      <c r="E19" s="16"/>
      <c r="F19" s="15"/>
      <c r="G19" s="4"/>
      <c r="H19" s="4"/>
    </row>
    <row r="20" spans="1:8">
      <c r="A20" s="6"/>
      <c r="B20" s="6"/>
      <c r="C20" s="6"/>
      <c r="D20" s="4"/>
      <c r="E20" s="16"/>
      <c r="F20" s="15"/>
      <c r="G20" s="4"/>
      <c r="H20" s="4"/>
    </row>
    <row r="21" spans="1:8">
      <c r="A21" s="1"/>
      <c r="B21" s="1"/>
    </row>
  </sheetData>
  <mergeCells count="8">
    <mergeCell ref="H2:H3"/>
    <mergeCell ref="A2:A3"/>
    <mergeCell ref="B2:B3"/>
    <mergeCell ref="C2:C3"/>
    <mergeCell ref="D2:D3"/>
    <mergeCell ref="E2:E3"/>
    <mergeCell ref="F2:F3"/>
    <mergeCell ref="G2:G3"/>
  </mergeCells>
  <phoneticPr fontId="3" type="noConversion"/>
  <dataValidations count="2">
    <dataValidation type="list" allowBlank="1" showInputMessage="1" showErrorMessage="1" sqref="C13:C20" xr:uid="{3604EBE2-0B56-D74B-B51D-ECBD9C3A5C7E}">
      <formula1>"IEP, SEP"</formula1>
    </dataValidation>
    <dataValidation type="list" allowBlank="1" showInputMessage="1" showErrorMessage="1" sqref="C4:C12" xr:uid="{34753DDF-6843-C349-9791-739ADF886A2C}">
      <formula1>"IEP, SEP, Phase-I, Phase-II, EP, Relinquished"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122F-896A-6841-91B6-E938086B9624}">
  <dimension ref="A2:O21"/>
  <sheetViews>
    <sheetView zoomScale="120" zoomScaleNormal="120" workbookViewId="0">
      <selection activeCell="B9" sqref="B9:B12"/>
    </sheetView>
  </sheetViews>
  <sheetFormatPr defaultColWidth="11" defaultRowHeight="15.95"/>
  <cols>
    <col min="2" max="2" width="19.625" customWidth="1"/>
    <col min="3" max="3" width="12.875" customWidth="1"/>
    <col min="4" max="5" width="14.375" customWidth="1"/>
    <col min="10" max="11" width="12" customWidth="1"/>
    <col min="15" max="15" width="16.375" customWidth="1"/>
  </cols>
  <sheetData>
    <row r="2" spans="1:15" ht="15.95" customHeight="1">
      <c r="A2" s="23" t="s">
        <v>0</v>
      </c>
      <c r="B2" s="23" t="s">
        <v>1</v>
      </c>
      <c r="C2" s="24" t="s">
        <v>190</v>
      </c>
      <c r="D2" s="24"/>
      <c r="E2" s="24"/>
      <c r="F2" s="24"/>
      <c r="G2" s="24" t="s">
        <v>191</v>
      </c>
      <c r="H2" s="24"/>
      <c r="I2" s="24"/>
      <c r="J2" s="24"/>
      <c r="K2" s="24"/>
      <c r="L2" s="24" t="s">
        <v>192</v>
      </c>
      <c r="M2" s="24"/>
      <c r="N2" s="24"/>
      <c r="O2" s="24" t="s">
        <v>193</v>
      </c>
    </row>
    <row r="3" spans="1:15" ht="32.1" customHeight="1">
      <c r="A3" s="23"/>
      <c r="B3" s="23"/>
      <c r="C3" s="2" t="s">
        <v>194</v>
      </c>
      <c r="D3" s="2" t="s">
        <v>85</v>
      </c>
      <c r="E3" s="2" t="s">
        <v>195</v>
      </c>
      <c r="F3" s="2" t="s">
        <v>196</v>
      </c>
      <c r="G3" s="5" t="s">
        <v>197</v>
      </c>
      <c r="H3" s="5" t="s">
        <v>198</v>
      </c>
      <c r="I3" s="5" t="s">
        <v>199</v>
      </c>
      <c r="J3" s="5" t="s">
        <v>200</v>
      </c>
      <c r="K3" s="5" t="s">
        <v>201</v>
      </c>
      <c r="L3" s="2" t="s">
        <v>202</v>
      </c>
      <c r="M3" s="5" t="s">
        <v>203</v>
      </c>
      <c r="N3" s="5" t="s">
        <v>204</v>
      </c>
      <c r="O3" s="24"/>
    </row>
    <row r="4" spans="1:15">
      <c r="A4" s="6">
        <v>1</v>
      </c>
      <c r="B4" s="6" t="s">
        <v>17</v>
      </c>
      <c r="C4" s="4"/>
      <c r="D4" s="4"/>
      <c r="E4" s="4"/>
      <c r="F4" s="4"/>
      <c r="G4" s="6">
        <v>0</v>
      </c>
      <c r="H4" s="6">
        <v>6.25</v>
      </c>
      <c r="I4" s="6">
        <v>0</v>
      </c>
      <c r="J4" s="6">
        <v>6.25</v>
      </c>
      <c r="K4" s="6">
        <v>53.634</v>
      </c>
      <c r="L4" s="6">
        <v>2</v>
      </c>
      <c r="M4" s="17">
        <v>50000</v>
      </c>
      <c r="N4" s="4"/>
      <c r="O4" s="4"/>
    </row>
    <row r="5" spans="1:15">
      <c r="A5" s="6">
        <v>2</v>
      </c>
      <c r="B5" s="6" t="s">
        <v>28</v>
      </c>
      <c r="C5" s="4"/>
      <c r="D5" s="4"/>
      <c r="E5" s="4"/>
      <c r="F5" s="4"/>
      <c r="G5" s="6">
        <v>0</v>
      </c>
      <c r="H5" s="6">
        <v>1.25</v>
      </c>
      <c r="I5" s="6">
        <v>0</v>
      </c>
      <c r="J5" s="6">
        <v>1.25</v>
      </c>
      <c r="K5" s="6">
        <v>10.68</v>
      </c>
      <c r="L5" s="6">
        <v>1</v>
      </c>
      <c r="M5" s="17">
        <v>25000</v>
      </c>
      <c r="N5" s="4"/>
      <c r="O5" s="4"/>
    </row>
    <row r="6" spans="1:15">
      <c r="A6" s="6">
        <v>3</v>
      </c>
      <c r="B6" s="6" t="s">
        <v>31</v>
      </c>
      <c r="C6" s="4"/>
      <c r="D6" s="4"/>
      <c r="E6" s="4"/>
      <c r="F6" s="4"/>
      <c r="G6" s="6">
        <v>0</v>
      </c>
      <c r="H6" s="6">
        <v>3.75</v>
      </c>
      <c r="I6" s="6">
        <v>0</v>
      </c>
      <c r="J6" s="6">
        <f>H6</f>
        <v>3.75</v>
      </c>
      <c r="K6" s="6">
        <v>31.71</v>
      </c>
      <c r="L6" s="6">
        <v>2</v>
      </c>
      <c r="M6" s="17">
        <v>50000</v>
      </c>
      <c r="N6" s="4"/>
      <c r="O6" s="4"/>
    </row>
    <row r="7" spans="1:15">
      <c r="A7" s="6">
        <v>4</v>
      </c>
      <c r="B7" s="6" t="s">
        <v>33</v>
      </c>
      <c r="C7" s="4"/>
      <c r="D7" s="4"/>
      <c r="E7" s="4"/>
      <c r="F7" s="4"/>
      <c r="G7" s="6">
        <v>0</v>
      </c>
      <c r="H7" s="6"/>
      <c r="I7" s="6">
        <v>0</v>
      </c>
      <c r="J7" s="6"/>
      <c r="K7" s="6"/>
      <c r="L7" s="6"/>
      <c r="M7" s="17"/>
      <c r="N7" s="4"/>
      <c r="O7" s="4"/>
    </row>
    <row r="8" spans="1:15">
      <c r="A8" s="6">
        <v>5</v>
      </c>
      <c r="B8" s="6" t="s">
        <v>38</v>
      </c>
      <c r="C8" s="4"/>
      <c r="D8" s="4"/>
      <c r="E8" s="4"/>
      <c r="F8" s="4"/>
      <c r="G8" s="6">
        <v>0</v>
      </c>
      <c r="H8" s="6">
        <v>5</v>
      </c>
      <c r="I8" s="6">
        <v>0</v>
      </c>
      <c r="J8" s="6">
        <f>H8</f>
        <v>5</v>
      </c>
      <c r="K8" s="6">
        <v>42.908000000000001</v>
      </c>
      <c r="L8" s="6">
        <v>2</v>
      </c>
      <c r="M8" s="17">
        <v>50000</v>
      </c>
      <c r="N8" s="4"/>
      <c r="O8" s="4"/>
    </row>
    <row r="9" spans="1:15">
      <c r="A9" s="6">
        <v>6</v>
      </c>
      <c r="B9" s="6" t="s">
        <v>40</v>
      </c>
      <c r="C9" s="4"/>
      <c r="D9" s="4"/>
      <c r="E9" s="4"/>
      <c r="F9" s="4"/>
      <c r="G9" s="6"/>
      <c r="H9" s="4"/>
      <c r="I9" s="4"/>
      <c r="J9" s="4"/>
      <c r="K9" s="4"/>
      <c r="L9" s="4"/>
      <c r="M9" s="4"/>
      <c r="N9" s="4"/>
      <c r="O9" s="4"/>
    </row>
    <row r="10" spans="1:15">
      <c r="A10" s="6">
        <v>7</v>
      </c>
      <c r="B10" s="6" t="s">
        <v>45</v>
      </c>
      <c r="C10" s="4"/>
      <c r="D10" s="4"/>
      <c r="E10" s="4"/>
      <c r="F10" s="4"/>
      <c r="G10" s="6"/>
      <c r="H10" s="4"/>
      <c r="I10" s="4"/>
      <c r="J10" s="4"/>
      <c r="K10" s="4"/>
      <c r="L10" s="4"/>
      <c r="M10" s="4"/>
      <c r="N10" s="4"/>
      <c r="O10" s="4"/>
    </row>
    <row r="11" spans="1:15">
      <c r="A11" s="6">
        <v>8</v>
      </c>
      <c r="B11" s="6" t="s">
        <v>46</v>
      </c>
      <c r="C11" s="4"/>
      <c r="D11" s="4"/>
      <c r="E11" s="4"/>
      <c r="F11" s="4"/>
      <c r="G11" s="6"/>
      <c r="H11" s="4"/>
      <c r="I11" s="4"/>
      <c r="J11" s="4"/>
      <c r="K11" s="4"/>
      <c r="L11" s="4"/>
      <c r="M11" s="4"/>
      <c r="N11" s="4"/>
      <c r="O11" s="4"/>
    </row>
    <row r="12" spans="1:15">
      <c r="A12" s="6">
        <v>9</v>
      </c>
      <c r="B12" s="6" t="s">
        <v>49</v>
      </c>
      <c r="C12" s="4"/>
      <c r="D12" s="4"/>
      <c r="E12" s="4"/>
      <c r="F12" s="4"/>
      <c r="G12" s="6"/>
      <c r="H12" s="4"/>
      <c r="I12" s="4"/>
      <c r="J12" s="4"/>
      <c r="K12" s="4"/>
      <c r="L12" s="4"/>
      <c r="M12" s="4"/>
      <c r="N12" s="4"/>
      <c r="O12" s="4"/>
    </row>
    <row r="13" spans="1:15">
      <c r="A13" s="6"/>
      <c r="B13" s="6"/>
      <c r="C13" s="4"/>
      <c r="D13" s="4"/>
      <c r="E13" s="4"/>
      <c r="F13" s="4"/>
      <c r="G13" s="6"/>
      <c r="H13" s="4"/>
      <c r="I13" s="4"/>
      <c r="J13" s="4"/>
      <c r="K13" s="4"/>
      <c r="L13" s="4"/>
      <c r="M13" s="4"/>
      <c r="N13" s="4"/>
      <c r="O13" s="4"/>
    </row>
    <row r="14" spans="1:15">
      <c r="A14" s="6"/>
      <c r="B14" s="6"/>
      <c r="C14" s="4"/>
      <c r="D14" s="4"/>
      <c r="E14" s="4"/>
      <c r="F14" s="4"/>
      <c r="G14" s="6"/>
      <c r="H14" s="4"/>
      <c r="I14" s="4"/>
      <c r="J14" s="4"/>
      <c r="K14" s="4"/>
      <c r="L14" s="4"/>
      <c r="M14" s="4"/>
      <c r="N14" s="4"/>
      <c r="O14" s="4"/>
    </row>
    <row r="15" spans="1:15">
      <c r="A15" s="6"/>
      <c r="B15" s="6"/>
      <c r="C15" s="4"/>
      <c r="D15" s="4"/>
      <c r="E15" s="4"/>
      <c r="F15" s="4"/>
      <c r="G15" s="6"/>
      <c r="H15" s="4"/>
      <c r="I15" s="4"/>
      <c r="J15" s="4"/>
      <c r="K15" s="4"/>
      <c r="L15" s="4"/>
      <c r="M15" s="4"/>
      <c r="N15" s="4"/>
      <c r="O15" s="4"/>
    </row>
    <row r="16" spans="1:15">
      <c r="A16" s="6"/>
      <c r="B16" s="6"/>
      <c r="C16" s="4"/>
      <c r="D16" s="4"/>
      <c r="E16" s="4"/>
      <c r="F16" s="4"/>
      <c r="G16" s="6"/>
      <c r="H16" s="4"/>
      <c r="I16" s="4"/>
      <c r="J16" s="4"/>
      <c r="K16" s="4"/>
      <c r="L16" s="4"/>
      <c r="M16" s="4"/>
      <c r="N16" s="4"/>
      <c r="O16" s="4"/>
    </row>
    <row r="17" spans="1:15">
      <c r="A17" s="6"/>
      <c r="B17" s="6"/>
      <c r="C17" s="4"/>
      <c r="D17" s="4"/>
      <c r="E17" s="4"/>
      <c r="F17" s="4"/>
      <c r="G17" s="6"/>
      <c r="H17" s="4"/>
      <c r="I17" s="4"/>
      <c r="J17" s="4"/>
      <c r="K17" s="4"/>
      <c r="L17" s="4"/>
      <c r="M17" s="4"/>
      <c r="N17" s="4"/>
      <c r="O17" s="4"/>
    </row>
    <row r="18" spans="1:15">
      <c r="A18" s="6"/>
      <c r="B18" s="6"/>
      <c r="C18" s="4"/>
      <c r="D18" s="4"/>
      <c r="E18" s="4"/>
      <c r="F18" s="4"/>
      <c r="G18" s="6"/>
      <c r="H18" s="4"/>
      <c r="I18" s="4"/>
      <c r="J18" s="4"/>
      <c r="K18" s="4"/>
      <c r="L18" s="4"/>
      <c r="M18" s="4"/>
      <c r="N18" s="4"/>
      <c r="O18" s="4"/>
    </row>
    <row r="19" spans="1:15">
      <c r="A19" s="6"/>
      <c r="B19" s="6"/>
      <c r="C19" s="4"/>
      <c r="D19" s="4"/>
      <c r="E19" s="4"/>
      <c r="F19" s="4"/>
      <c r="G19" s="6"/>
      <c r="H19" s="4"/>
      <c r="I19" s="4"/>
      <c r="J19" s="4"/>
      <c r="K19" s="4"/>
      <c r="L19" s="4"/>
      <c r="M19" s="4"/>
      <c r="N19" s="4"/>
      <c r="O19" s="4"/>
    </row>
    <row r="20" spans="1:15">
      <c r="A20" s="6"/>
      <c r="B20" s="6"/>
      <c r="C20" s="4"/>
      <c r="D20" s="4"/>
      <c r="E20" s="4"/>
      <c r="F20" s="4"/>
      <c r="G20" s="6"/>
      <c r="H20" s="4"/>
      <c r="I20" s="4"/>
      <c r="J20" s="4"/>
      <c r="K20" s="4"/>
      <c r="L20" s="4"/>
      <c r="M20" s="4"/>
      <c r="N20" s="4"/>
      <c r="O20" s="4"/>
    </row>
    <row r="21" spans="1:15">
      <c r="A21" s="1"/>
      <c r="B21" s="1"/>
    </row>
  </sheetData>
  <mergeCells count="6">
    <mergeCell ref="G2:K2"/>
    <mergeCell ref="L2:N2"/>
    <mergeCell ref="O2:O3"/>
    <mergeCell ref="A2:A3"/>
    <mergeCell ref="B2:B3"/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6F16-1456-D14B-A66B-E6A26FDE5D39}">
  <dimension ref="A2:D21"/>
  <sheetViews>
    <sheetView zoomScale="120" zoomScaleNormal="120" workbookViewId="0">
      <selection activeCell="I4" sqref="I4"/>
    </sheetView>
  </sheetViews>
  <sheetFormatPr defaultColWidth="11" defaultRowHeight="15.95"/>
  <cols>
    <col min="2" max="2" width="19.625" customWidth="1"/>
    <col min="3" max="3" width="16.5" customWidth="1"/>
    <col min="4" max="4" width="17.5" customWidth="1"/>
  </cols>
  <sheetData>
    <row r="2" spans="1:4" ht="15.95" customHeight="1">
      <c r="A2" s="23" t="s">
        <v>0</v>
      </c>
      <c r="B2" s="23" t="s">
        <v>1</v>
      </c>
      <c r="C2" s="24" t="s">
        <v>205</v>
      </c>
      <c r="D2" s="24" t="s">
        <v>206</v>
      </c>
    </row>
    <row r="3" spans="1:4">
      <c r="A3" s="23"/>
      <c r="B3" s="23"/>
      <c r="C3" s="24"/>
      <c r="D3" s="24"/>
    </row>
    <row r="4" spans="1:4" ht="102">
      <c r="A4" s="6">
        <v>1</v>
      </c>
      <c r="B4" s="6" t="s">
        <v>17</v>
      </c>
      <c r="C4" s="6">
        <v>6</v>
      </c>
      <c r="D4" s="14" t="s">
        <v>207</v>
      </c>
    </row>
    <row r="5" spans="1:4" ht="102">
      <c r="A5" s="6">
        <v>2</v>
      </c>
      <c r="B5" s="6" t="s">
        <v>28</v>
      </c>
      <c r="C5" s="6">
        <v>6</v>
      </c>
      <c r="D5" s="14" t="s">
        <v>208</v>
      </c>
    </row>
    <row r="6" spans="1:4" ht="84.95">
      <c r="A6" s="6">
        <v>3</v>
      </c>
      <c r="B6" s="6" t="s">
        <v>31</v>
      </c>
      <c r="C6" s="6">
        <v>5</v>
      </c>
      <c r="D6" s="14" t="s">
        <v>209</v>
      </c>
    </row>
    <row r="7" spans="1:4">
      <c r="A7" s="6">
        <v>4</v>
      </c>
      <c r="B7" s="6" t="s">
        <v>33</v>
      </c>
      <c r="C7" s="4"/>
      <c r="D7" s="4"/>
    </row>
    <row r="8" spans="1:4" ht="119.1">
      <c r="A8" s="6">
        <v>5</v>
      </c>
      <c r="B8" s="6" t="s">
        <v>38</v>
      </c>
      <c r="C8" s="6">
        <v>7</v>
      </c>
      <c r="D8" s="14" t="s">
        <v>210</v>
      </c>
    </row>
    <row r="9" spans="1:4">
      <c r="A9" s="6">
        <v>6</v>
      </c>
      <c r="B9" s="6" t="s">
        <v>40</v>
      </c>
      <c r="C9" s="6">
        <v>0</v>
      </c>
      <c r="D9" s="4"/>
    </row>
    <row r="10" spans="1:4">
      <c r="A10" s="6">
        <v>7</v>
      </c>
      <c r="B10" s="6" t="s">
        <v>45</v>
      </c>
      <c r="C10" s="6">
        <v>0</v>
      </c>
      <c r="D10" s="4"/>
    </row>
    <row r="11" spans="1:4">
      <c r="A11" s="6">
        <v>8</v>
      </c>
      <c r="B11" s="6" t="s">
        <v>46</v>
      </c>
      <c r="C11" s="6">
        <v>0</v>
      </c>
      <c r="D11" s="4"/>
    </row>
    <row r="12" spans="1:4">
      <c r="A12" s="6">
        <v>9</v>
      </c>
      <c r="B12" s="6" t="s">
        <v>49</v>
      </c>
      <c r="C12" s="6">
        <v>0</v>
      </c>
      <c r="D12" s="4"/>
    </row>
    <row r="13" spans="1:4">
      <c r="A13" s="6"/>
      <c r="B13" s="6"/>
      <c r="C13" s="4"/>
      <c r="D13" s="4"/>
    </row>
    <row r="14" spans="1:4">
      <c r="A14" s="6"/>
      <c r="B14" s="6"/>
      <c r="C14" s="4"/>
      <c r="D14" s="4"/>
    </row>
    <row r="15" spans="1:4">
      <c r="A15" s="6"/>
      <c r="B15" s="6"/>
      <c r="C15" s="4"/>
      <c r="D15" s="4"/>
    </row>
    <row r="16" spans="1:4">
      <c r="A16" s="6"/>
      <c r="B16" s="6"/>
      <c r="C16" s="4"/>
      <c r="D16" s="4"/>
    </row>
    <row r="17" spans="1:4">
      <c r="A17" s="6"/>
      <c r="B17" s="6"/>
      <c r="C17" s="4"/>
      <c r="D17" s="4"/>
    </row>
    <row r="18" spans="1:4">
      <c r="A18" s="6"/>
      <c r="B18" s="6"/>
      <c r="C18" s="4"/>
      <c r="D18" s="4"/>
    </row>
    <row r="19" spans="1:4">
      <c r="A19" s="6"/>
      <c r="B19" s="6"/>
      <c r="C19" s="4"/>
      <c r="D19" s="4"/>
    </row>
    <row r="20" spans="1:4">
      <c r="A20" s="6"/>
      <c r="B20" s="6"/>
      <c r="C20" s="4"/>
      <c r="D20" s="4"/>
    </row>
    <row r="21" spans="1:4">
      <c r="A21" s="1"/>
      <c r="B21" s="1"/>
    </row>
  </sheetData>
  <mergeCells count="4">
    <mergeCell ref="C2:C3"/>
    <mergeCell ref="D2:D3"/>
    <mergeCell ref="A2:A3"/>
    <mergeCell ref="B2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591A-B336-9244-99CA-69AFDD84A92D}">
  <dimension ref="A2:B18"/>
  <sheetViews>
    <sheetView workbookViewId="0">
      <selection activeCell="O28" sqref="O28"/>
    </sheetView>
  </sheetViews>
  <sheetFormatPr defaultColWidth="11" defaultRowHeight="15.95"/>
  <cols>
    <col min="1" max="1" width="30.5" bestFit="1" customWidth="1"/>
    <col min="2" max="2" width="16" customWidth="1"/>
  </cols>
  <sheetData>
    <row r="2" spans="1:2">
      <c r="A2" s="7" t="s">
        <v>211</v>
      </c>
      <c r="B2" s="7"/>
    </row>
    <row r="3" spans="1:2">
      <c r="A3" t="s">
        <v>212</v>
      </c>
    </row>
    <row r="4" spans="1:2">
      <c r="A4" t="s">
        <v>47</v>
      </c>
    </row>
    <row r="5" spans="1:2">
      <c r="A5" t="s">
        <v>213</v>
      </c>
    </row>
    <row r="6" spans="1:2">
      <c r="A6" t="s">
        <v>214</v>
      </c>
    </row>
    <row r="7" spans="1:2">
      <c r="A7" t="s">
        <v>215</v>
      </c>
    </row>
    <row r="8" spans="1:2">
      <c r="A8" t="s">
        <v>216</v>
      </c>
    </row>
    <row r="9" spans="1:2">
      <c r="A9" t="s">
        <v>217</v>
      </c>
    </row>
    <row r="10" spans="1:2">
      <c r="A10" t="s">
        <v>218</v>
      </c>
    </row>
    <row r="11" spans="1:2">
      <c r="A11" t="s">
        <v>21</v>
      </c>
    </row>
    <row r="12" spans="1:2">
      <c r="A12" t="s">
        <v>219</v>
      </c>
    </row>
    <row r="13" spans="1:2">
      <c r="A13" t="s">
        <v>220</v>
      </c>
    </row>
    <row r="14" spans="1:2">
      <c r="A14" t="s">
        <v>221</v>
      </c>
    </row>
    <row r="15" spans="1:2">
      <c r="A15" t="s">
        <v>222</v>
      </c>
    </row>
    <row r="16" spans="1:2">
      <c r="A16" t="s">
        <v>223</v>
      </c>
    </row>
    <row r="17" spans="1:1">
      <c r="A17" t="s">
        <v>224</v>
      </c>
    </row>
    <row r="18" spans="1:1">
      <c r="A18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CE840-3815-4A41-832E-FA75F07D1124}">
  <dimension ref="A1:M11"/>
  <sheetViews>
    <sheetView tabSelected="1" workbookViewId="0">
      <pane ySplit="1" topLeftCell="A2" activePane="bottomLeft" state="frozen"/>
      <selection pane="bottomLeft" activeCell="I22" sqref="I22"/>
    </sheetView>
  </sheetViews>
  <sheetFormatPr defaultColWidth="8.875" defaultRowHeight="15"/>
  <cols>
    <col min="1" max="1" width="24" style="21" customWidth="1"/>
    <col min="2" max="3" width="20" style="21" customWidth="1"/>
    <col min="4" max="5" width="16" style="21" customWidth="1"/>
    <col min="6" max="6" width="20" style="21" customWidth="1"/>
    <col min="7" max="7" width="34" style="21" customWidth="1"/>
    <col min="8" max="8" width="18" style="21" customWidth="1"/>
    <col min="9" max="9" width="20" style="21" customWidth="1"/>
    <col min="10" max="11" width="18" style="21" customWidth="1"/>
    <col min="12" max="12" width="20" style="21" customWidth="1"/>
    <col min="13" max="13" width="55" style="21" customWidth="1"/>
    <col min="14" max="16384" width="8.875" style="21"/>
  </cols>
  <sheetData>
    <row r="1" spans="1:13" ht="36" customHeight="1">
      <c r="A1" s="20" t="s">
        <v>226</v>
      </c>
      <c r="B1" s="20" t="s">
        <v>1</v>
      </c>
      <c r="C1" s="20" t="s">
        <v>227</v>
      </c>
      <c r="D1" s="20" t="s">
        <v>228</v>
      </c>
      <c r="E1" s="20" t="s">
        <v>229</v>
      </c>
      <c r="F1" s="20" t="s">
        <v>230</v>
      </c>
      <c r="G1" s="20" t="s">
        <v>231</v>
      </c>
      <c r="H1" s="20" t="s">
        <v>232</v>
      </c>
      <c r="I1" s="20" t="s">
        <v>233</v>
      </c>
      <c r="J1" s="20" t="s">
        <v>234</v>
      </c>
      <c r="K1" s="20" t="s">
        <v>235</v>
      </c>
      <c r="L1" s="20" t="s">
        <v>236</v>
      </c>
      <c r="M1" s="20" t="s">
        <v>237</v>
      </c>
    </row>
    <row r="2" spans="1:13" ht="15.95">
      <c r="A2" s="22" t="s">
        <v>238</v>
      </c>
      <c r="B2" s="22" t="s">
        <v>17</v>
      </c>
      <c r="C2" s="22" t="s">
        <v>239</v>
      </c>
      <c r="D2" s="22" t="s">
        <v>240</v>
      </c>
      <c r="E2" s="22" t="s">
        <v>241</v>
      </c>
      <c r="F2" s="22" t="s">
        <v>242</v>
      </c>
      <c r="G2" s="22" t="s">
        <v>243</v>
      </c>
      <c r="H2" s="22" t="s">
        <v>244</v>
      </c>
      <c r="I2" s="22" t="s">
        <v>245</v>
      </c>
      <c r="J2" s="22" t="s">
        <v>246</v>
      </c>
      <c r="K2" s="22" t="s">
        <v>247</v>
      </c>
      <c r="L2" s="22" t="s">
        <v>247</v>
      </c>
      <c r="M2" s="22"/>
    </row>
    <row r="3" spans="1:13" ht="15.95">
      <c r="A3" s="22" t="s">
        <v>238</v>
      </c>
      <c r="B3" s="22" t="s">
        <v>28</v>
      </c>
      <c r="C3" s="22" t="s">
        <v>248</v>
      </c>
      <c r="D3" s="22" t="s">
        <v>240</v>
      </c>
      <c r="E3" s="22" t="s">
        <v>241</v>
      </c>
      <c r="F3" s="22" t="s">
        <v>242</v>
      </c>
      <c r="G3" s="22" t="s">
        <v>249</v>
      </c>
      <c r="H3" s="22" t="s">
        <v>250</v>
      </c>
      <c r="I3" s="22" t="s">
        <v>251</v>
      </c>
      <c r="J3" s="22" t="s">
        <v>252</v>
      </c>
      <c r="K3" s="22" t="s">
        <v>253</v>
      </c>
      <c r="L3" s="22" t="s">
        <v>254</v>
      </c>
      <c r="M3" s="22" t="s">
        <v>255</v>
      </c>
    </row>
    <row r="4" spans="1:13" ht="32.1">
      <c r="A4" s="22" t="s">
        <v>238</v>
      </c>
      <c r="B4" s="22" t="s">
        <v>28</v>
      </c>
      <c r="C4" s="22" t="s">
        <v>256</v>
      </c>
      <c r="D4" s="22" t="s">
        <v>240</v>
      </c>
      <c r="E4" s="22" t="s">
        <v>241</v>
      </c>
      <c r="F4" s="22" t="s">
        <v>242</v>
      </c>
      <c r="G4" s="22" t="s">
        <v>257</v>
      </c>
      <c r="H4" s="22"/>
      <c r="I4" s="22" t="s">
        <v>24</v>
      </c>
      <c r="J4" s="22" t="s">
        <v>258</v>
      </c>
      <c r="K4" s="22"/>
      <c r="L4" s="22" t="s">
        <v>24</v>
      </c>
      <c r="M4" s="22" t="s">
        <v>259</v>
      </c>
    </row>
    <row r="5" spans="1:13" ht="15.95">
      <c r="A5" s="22" t="s">
        <v>238</v>
      </c>
      <c r="B5" s="22" t="s">
        <v>28</v>
      </c>
      <c r="C5" s="22" t="s">
        <v>260</v>
      </c>
      <c r="D5" s="22" t="s">
        <v>240</v>
      </c>
      <c r="E5" s="22" t="s">
        <v>241</v>
      </c>
      <c r="F5" s="22" t="s">
        <v>242</v>
      </c>
      <c r="G5" s="22" t="s">
        <v>249</v>
      </c>
      <c r="H5" s="22" t="s">
        <v>250</v>
      </c>
      <c r="I5" s="22" t="s">
        <v>251</v>
      </c>
      <c r="J5" s="22" t="s">
        <v>261</v>
      </c>
      <c r="K5" s="22" t="s">
        <v>253</v>
      </c>
      <c r="L5" s="22" t="s">
        <v>262</v>
      </c>
      <c r="M5" s="22" t="s">
        <v>255</v>
      </c>
    </row>
    <row r="6" spans="1:13" ht="15.95">
      <c r="A6" s="22" t="s">
        <v>238</v>
      </c>
      <c r="B6" s="22" t="s">
        <v>28</v>
      </c>
      <c r="C6" s="22" t="s">
        <v>263</v>
      </c>
      <c r="D6" s="22" t="s">
        <v>240</v>
      </c>
      <c r="E6" s="22" t="s">
        <v>241</v>
      </c>
      <c r="F6" s="22" t="s">
        <v>242</v>
      </c>
      <c r="G6" s="22" t="s">
        <v>258</v>
      </c>
      <c r="H6" s="22"/>
      <c r="I6" s="22" t="s">
        <v>24</v>
      </c>
      <c r="J6" s="22" t="s">
        <v>258</v>
      </c>
      <c r="K6" s="22"/>
      <c r="L6" s="22" t="s">
        <v>24</v>
      </c>
      <c r="M6" s="22" t="s">
        <v>264</v>
      </c>
    </row>
    <row r="7" spans="1:13" ht="15.95">
      <c r="A7" s="22" t="s">
        <v>238</v>
      </c>
      <c r="B7" s="22" t="s">
        <v>31</v>
      </c>
      <c r="C7" s="22" t="s">
        <v>265</v>
      </c>
      <c r="D7" s="22" t="s">
        <v>240</v>
      </c>
      <c r="E7" s="22" t="s">
        <v>241</v>
      </c>
      <c r="F7" s="22" t="s">
        <v>242</v>
      </c>
      <c r="G7" s="22" t="s">
        <v>266</v>
      </c>
      <c r="H7" s="22" t="s">
        <v>267</v>
      </c>
      <c r="I7" s="22" t="s">
        <v>268</v>
      </c>
      <c r="J7" s="22" t="s">
        <v>269</v>
      </c>
      <c r="K7" s="22" t="s">
        <v>270</v>
      </c>
      <c r="L7" s="22" t="s">
        <v>271</v>
      </c>
      <c r="M7" s="22" t="s">
        <v>272</v>
      </c>
    </row>
    <row r="8" spans="1:13" ht="15.95">
      <c r="A8" s="22" t="s">
        <v>238</v>
      </c>
      <c r="B8" s="22" t="s">
        <v>33</v>
      </c>
      <c r="C8" s="22" t="s">
        <v>273</v>
      </c>
      <c r="D8" s="22" t="s">
        <v>240</v>
      </c>
      <c r="E8" s="22" t="s">
        <v>241</v>
      </c>
      <c r="F8" s="22" t="s">
        <v>242</v>
      </c>
      <c r="G8" s="22" t="s">
        <v>24</v>
      </c>
      <c r="H8" s="22" t="s">
        <v>24</v>
      </c>
      <c r="I8" s="22" t="s">
        <v>24</v>
      </c>
      <c r="J8" s="22" t="s">
        <v>24</v>
      </c>
      <c r="K8" s="22" t="s">
        <v>24</v>
      </c>
      <c r="L8" s="22" t="s">
        <v>24</v>
      </c>
      <c r="M8" s="22" t="s">
        <v>274</v>
      </c>
    </row>
    <row r="9" spans="1:13" ht="15.95">
      <c r="A9" s="22" t="s">
        <v>238</v>
      </c>
      <c r="B9" s="22" t="s">
        <v>38</v>
      </c>
      <c r="C9" s="22" t="s">
        <v>275</v>
      </c>
      <c r="D9" s="22" t="s">
        <v>240</v>
      </c>
      <c r="E9" s="22" t="s">
        <v>241</v>
      </c>
      <c r="F9" s="22" t="s">
        <v>242</v>
      </c>
      <c r="G9" s="22" t="s">
        <v>249</v>
      </c>
      <c r="H9" s="22" t="s">
        <v>276</v>
      </c>
      <c r="I9" s="22" t="s">
        <v>277</v>
      </c>
      <c r="J9" s="22" t="s">
        <v>278</v>
      </c>
      <c r="K9" s="22" t="s">
        <v>279</v>
      </c>
      <c r="L9" s="22" t="s">
        <v>262</v>
      </c>
      <c r="M9" s="22" t="s">
        <v>255</v>
      </c>
    </row>
    <row r="10" spans="1:13" ht="15.95">
      <c r="A10" s="22" t="s">
        <v>238</v>
      </c>
      <c r="B10" s="22" t="s">
        <v>38</v>
      </c>
      <c r="C10" s="22" t="s">
        <v>280</v>
      </c>
      <c r="D10" s="22" t="s">
        <v>240</v>
      </c>
      <c r="E10" s="22" t="s">
        <v>241</v>
      </c>
      <c r="F10" s="22" t="s">
        <v>242</v>
      </c>
      <c r="G10" s="22" t="s">
        <v>281</v>
      </c>
      <c r="H10" s="22" t="s">
        <v>282</v>
      </c>
      <c r="I10" s="22" t="s">
        <v>283</v>
      </c>
      <c r="J10" s="22" t="s">
        <v>284</v>
      </c>
      <c r="K10" s="22" t="s">
        <v>285</v>
      </c>
      <c r="L10" s="22" t="s">
        <v>254</v>
      </c>
      <c r="M10" s="22" t="s">
        <v>255</v>
      </c>
    </row>
    <row r="11" spans="1:13" ht="15.95">
      <c r="A11" s="22" t="s">
        <v>238</v>
      </c>
      <c r="B11" s="22" t="s">
        <v>38</v>
      </c>
      <c r="C11" s="22" t="s">
        <v>286</v>
      </c>
      <c r="D11" s="22" t="s">
        <v>240</v>
      </c>
      <c r="E11" s="22" t="s">
        <v>241</v>
      </c>
      <c r="F11" s="22" t="s">
        <v>242</v>
      </c>
      <c r="G11" s="22" t="s">
        <v>281</v>
      </c>
      <c r="H11" s="22" t="s">
        <v>282</v>
      </c>
      <c r="I11" s="22" t="s">
        <v>283</v>
      </c>
      <c r="J11" s="22" t="s">
        <v>284</v>
      </c>
      <c r="K11" s="22" t="s">
        <v>254</v>
      </c>
      <c r="L11" s="22" t="s">
        <v>247</v>
      </c>
      <c r="M11" s="22" t="s">
        <v>287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Subhayan Dasgupta ( सुभायन दासगुप्ता )</dc:creator>
  <cp:keywords/>
  <dc:description/>
  <cp:lastModifiedBy>Subhayan Dasgupta ( सुभायन दासगुप्ता )</cp:lastModifiedBy>
  <cp:revision/>
  <dcterms:created xsi:type="dcterms:W3CDTF">2026-08-21T04:31:15Z</dcterms:created>
  <dcterms:modified xsi:type="dcterms:W3CDTF">2026-10-03T19:37:01Z</dcterms:modified>
  <cp:category/>
  <cp:contentStatus/>
</cp:coreProperties>
</file>